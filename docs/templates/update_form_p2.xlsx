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Довідка по заповненню" sheetId="1" state="visible" r:id="rId3"/>
    <sheet name="Основна" sheetId="2" state="visible" r:id="rId4"/>
    <sheet name="Адреси Контакти" sheetId="3" state="visible" r:id="rId5"/>
    <sheet name="Освіта" sheetId="4" state="visible" r:id="rId6"/>
    <sheet name="Родина" sheetId="5" state="visible" r:id="rId7"/>
    <sheet name="Документи" sheetId="6" state="visible" r:id="rId8"/>
    <sheet name="Системна інформація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<sst xmlns="http://schemas.openxmlformats.org/spreadsheetml/2006/main" count="221" uniqueCount="162">
  <si>
    <t xml:space="preserve">Найменування підприємства (установи, організації)</t>
  </si>
  <si>
    <t xml:space="preserve">Національний технічний університет "Харківський політехничний інститут"</t>
  </si>
  <si>
    <t xml:space="preserve">Код ЄДРПОУ</t>
  </si>
  <si>
    <t xml:space="preserve">ОСОБОВА   КАРТКА  ПРАЦІВНИКА</t>
  </si>
  <si>
    <t xml:space="preserve">ЗАГАЛЬНІ ВІДОМОСТІ</t>
  </si>
  <si>
    <t xml:space="preserve">Прізвище</t>
  </si>
  <si>
    <t xml:space="preserve">Ім’я</t>
  </si>
  <si>
    <t xml:space="preserve">По батькові </t>
  </si>
  <si>
    <t xml:space="preserve">Дата народження </t>
  </si>
  <si>
    <t xml:space="preserve">Дата</t>
  </si>
  <si>
    <t xml:space="preserve">Громадянство</t>
  </si>
  <si>
    <t xml:space="preserve">Освіта </t>
  </si>
  <si>
    <t xml:space="preserve">Список</t>
  </si>
  <si>
    <t xml:space="preserve">ППС чи ІТС</t>
  </si>
  <si>
    <t xml:space="preserve">Науковий ступінь</t>
  </si>
  <si>
    <t xml:space="preserve">Список на основі БД (Stepen)</t>
  </si>
  <si>
    <t xml:space="preserve">Вчене звання</t>
  </si>
  <si>
    <t xml:space="preserve">Список на основі БД (Zvanie)</t>
  </si>
  <si>
    <t xml:space="preserve">Сімейний стан</t>
  </si>
  <si>
    <t xml:space="preserve">ПОСАДА</t>
  </si>
  <si>
    <t xml:space="preserve">Інститут</t>
  </si>
  <si>
    <t xml:space="preserve">Список на основі БД (Fakultet)</t>
  </si>
  <si>
    <t xml:space="preserve">Кафедра (відділ)</t>
  </si>
  <si>
    <t xml:space="preserve">Список на основі БД (Kafedra)</t>
  </si>
  <si>
    <t xml:space="preserve">Посада</t>
  </si>
  <si>
    <t xml:space="preserve">Список на основі БД (Dolghnost)</t>
  </si>
  <si>
    <t xml:space="preserve">Номер наказу про призначення</t>
  </si>
  <si>
    <t xml:space="preserve">Маска</t>
  </si>
  <si>
    <t xml:space="preserve">Дата наказу про призначення</t>
  </si>
  <si>
    <t xml:space="preserve">ВІДОМОСТІ ПРО ВІЙСЬКОВИЙ ОБЛІК</t>
  </si>
  <si>
    <t xml:space="preserve">Група обліку</t>
  </si>
  <si>
    <t xml:space="preserve">Категорія обліку</t>
  </si>
  <si>
    <t xml:space="preserve">Склад</t>
  </si>
  <si>
    <t xml:space="preserve">Список на основі БД (VSklad)</t>
  </si>
  <si>
    <t xml:space="preserve">Військове звання</t>
  </si>
  <si>
    <t xml:space="preserve">Список на основі БД (Vzvanie)</t>
  </si>
  <si>
    <t xml:space="preserve">Військово-облікова спеціальність</t>
  </si>
  <si>
    <t xml:space="preserve">6 цифр</t>
  </si>
  <si>
    <t xml:space="preserve"> Придатність до військової служби</t>
  </si>
  <si>
    <t xml:space="preserve">Список із додаванням</t>
  </si>
  <si>
    <t xml:space="preserve">Териториальний центр комплектування та соціальної підтримки</t>
  </si>
  <si>
    <t xml:space="preserve">Список на основі БД (Voenkomat) із додаванням</t>
  </si>
  <si>
    <t xml:space="preserve">АДРЕСИ ТА КОНТАКТИ</t>
  </si>
  <si>
    <t xml:space="preserve">11. Місце фактичного проживання</t>
  </si>
  <si>
    <t xml:space="preserve">Країна</t>
  </si>
  <si>
    <t xml:space="preserve">Список на основі БД (Country)</t>
  </si>
  <si>
    <t xml:space="preserve">Область (України)</t>
  </si>
  <si>
    <t xml:space="preserve">Список на основі БД (RegionUkraine) із додаванням</t>
  </si>
  <si>
    <t xml:space="preserve">Місто</t>
  </si>
  <si>
    <t xml:space="preserve">Адреса (вулиця, № будинку, квартири)</t>
  </si>
  <si>
    <t xml:space="preserve">Індекс</t>
  </si>
  <si>
    <t xml:space="preserve">5 цифр, не обовязкове</t>
  </si>
  <si>
    <t xml:space="preserve">Телефони</t>
  </si>
  <si>
    <t xml:space="preserve">КОНТАКТНИЙ ТЕЛЕФОН (основний)</t>
  </si>
  <si>
    <t xml:space="preserve">10 цифр</t>
  </si>
  <si>
    <t xml:space="preserve">КОНТАКТНИЙ ТЕЛЕФОН (додатковий)</t>
  </si>
  <si>
    <t xml:space="preserve">12. Місце проживання за державною реєстрацією </t>
  </si>
  <si>
    <t xml:space="preserve">Співпадає із адресою фактичного проживання</t>
  </si>
  <si>
    <t xml:space="preserve">ОСВІТА</t>
  </si>
  <si>
    <t xml:space="preserve">4. ОСВІТА АКАДЕМІЧНА</t>
  </si>
  <si>
    <t xml:space="preserve">Назва освітнього закладу</t>
  </si>
  <si>
    <t xml:space="preserve">Серія дисплома (свідоцтва)</t>
  </si>
  <si>
    <t xml:space="preserve">Номер дисплома (свідоцтва)</t>
  </si>
  <si>
    <t xml:space="preserve">Рік закінчення</t>
  </si>
  <si>
    <t xml:space="preserve">Спеціальність (професія) за дипломом (свідоцтвом) </t>
  </si>
  <si>
    <t xml:space="preserve">Кваліфікація за дипломом (свідоцтвом)</t>
  </si>
  <si>
    <t xml:space="preserve">Форма навчання (денна, вечірня, заочна)</t>
  </si>
  <si>
    <t xml:space="preserve">Рівень освіти</t>
  </si>
  <si>
    <t xml:space="preserve">4 цифри</t>
  </si>
  <si>
    <t xml:space="preserve">5. ПІСЛЯДИПЛОМНА ПРОФЕСІЙНА ПІДГОТОВКА</t>
  </si>
  <si>
    <t xml:space="preserve">Назва освітнього, наукового  закладу</t>
  </si>
  <si>
    <t xml:space="preserve">Рівень підготовки</t>
  </si>
  <si>
    <t xml:space="preserve">10. РОДИННИЙ СТАН</t>
  </si>
  <si>
    <t xml:space="preserve">Склад родини</t>
  </si>
  <si>
    <t xml:space="preserve">Ступінь родинного зв’язку (склад сім'ї)</t>
  </si>
  <si>
    <t xml:space="preserve">По-батькові</t>
  </si>
  <si>
    <t xml:space="preserve">Рік народження</t>
  </si>
  <si>
    <t xml:space="preserve">4 цифри!!!</t>
  </si>
  <si>
    <t xml:space="preserve">ДОКУМЕНТИ</t>
  </si>
  <si>
    <t xml:space="preserve">Паспорт (або ID-CARD)</t>
  </si>
  <si>
    <t xml:space="preserve">Тип документу</t>
  </si>
  <si>
    <t xml:space="preserve">Серія та номер </t>
  </si>
  <si>
    <t xml:space="preserve">Маска: МК229850 або 777111333</t>
  </si>
  <si>
    <t xml:space="preserve">Ким виданий</t>
  </si>
  <si>
    <t xml:space="preserve">Маска для ІД-картки: 4 цирфи</t>
  </si>
  <si>
    <t xml:space="preserve">Дата видачі</t>
  </si>
  <si>
    <t xml:space="preserve">Військовий квіток</t>
  </si>
  <si>
    <t xml:space="preserve">Маска: МК224345</t>
  </si>
  <si>
    <t xml:space="preserve">Закордоний паспорт</t>
  </si>
  <si>
    <t xml:space="preserve">Маска: FF453210</t>
  </si>
  <si>
    <t xml:space="preserve">Маска для ІД-картки: 4 цифри</t>
  </si>
  <si>
    <t xml:space="preserve">Назва сторінки</t>
  </si>
  <si>
    <t xml:space="preserve">Назва поля</t>
  </si>
  <si>
    <t xml:space="preserve">Поле для оновлення</t>
  </si>
  <si>
    <t xml:space="preserve">Поле з актуальною інформацією</t>
  </si>
  <si>
    <t xml:space="preserve">ОСВІТА АКАДЕМІЧНА</t>
  </si>
  <si>
    <t xml:space="preserve">Тип заповнення</t>
  </si>
  <si>
    <t xml:space="preserve">Назва списку</t>
  </si>
  <si>
    <t xml:space="preserve">Значення</t>
  </si>
  <si>
    <t xml:space="preserve">Основна</t>
  </si>
  <si>
    <t xml:space="preserve">Визначений</t>
  </si>
  <si>
    <t xml:space="preserve">базова загальна середня</t>
  </si>
  <si>
    <t xml:space="preserve">повна загальна середня</t>
  </si>
  <si>
    <t xml:space="preserve">професійно-технічна</t>
  </si>
  <si>
    <t xml:space="preserve">неповна вища</t>
  </si>
  <si>
    <t xml:space="preserve">базова вища</t>
  </si>
  <si>
    <t xml:space="preserve">повна вища</t>
  </si>
  <si>
    <t xml:space="preserve">НПП</t>
  </si>
  <si>
    <t xml:space="preserve">ІТС</t>
  </si>
  <si>
    <t xml:space="preserve">одружений</t>
  </si>
  <si>
    <t xml:space="preserve">неодружений</t>
  </si>
  <si>
    <t xml:space="preserve">заміжня</t>
  </si>
  <si>
    <t xml:space="preserve">незаміжня</t>
  </si>
  <si>
    <t xml:space="preserve">розлучений</t>
  </si>
  <si>
    <t xml:space="preserve">розлучена</t>
  </si>
  <si>
    <t xml:space="preserve">вдова</t>
  </si>
  <si>
    <t xml:space="preserve">вдівець</t>
  </si>
  <si>
    <t xml:space="preserve">військовозобов'язаний</t>
  </si>
  <si>
    <t xml:space="preserve">призовник</t>
  </si>
  <si>
    <t xml:space="preserve">ПІСЛЯДИПЛОМНА ПРОФЕСІЙНА ПІДГОТОВКА</t>
  </si>
  <si>
    <t xml:space="preserve">придатний</t>
  </si>
  <si>
    <t xml:space="preserve">обмежено-придатний</t>
  </si>
  <si>
    <t xml:space="preserve">непридатний</t>
  </si>
  <si>
    <t xml:space="preserve">Перебування на спеціальному обліку</t>
  </si>
  <si>
    <t xml:space="preserve">Не перебуває</t>
  </si>
  <si>
    <t xml:space="preserve">ТАК</t>
  </si>
  <si>
    <t xml:space="preserve">НІ</t>
  </si>
  <si>
    <t xml:space="preserve">Денна</t>
  </si>
  <si>
    <t xml:space="preserve">Вечірня</t>
  </si>
  <si>
    <t xml:space="preserve">Заочна</t>
  </si>
  <si>
    <t xml:space="preserve">Спеціаліст</t>
  </si>
  <si>
    <t xml:space="preserve">Бакалавр</t>
  </si>
  <si>
    <t xml:space="preserve">Магістр</t>
  </si>
  <si>
    <t xml:space="preserve">Науковий ступінь, учене звання</t>
  </si>
  <si>
    <t xml:space="preserve">кандидат наук</t>
  </si>
  <si>
    <t xml:space="preserve">PhD</t>
  </si>
  <si>
    <t xml:space="preserve">доцент</t>
  </si>
  <si>
    <t xml:space="preserve">доктор наук</t>
  </si>
  <si>
    <t xml:space="preserve">професор</t>
  </si>
  <si>
    <t xml:space="preserve">аспірантура</t>
  </si>
  <si>
    <t xml:space="preserve">ад'юнктура</t>
  </si>
  <si>
    <t xml:space="preserve">докторантура</t>
  </si>
  <si>
    <t xml:space="preserve">дружина</t>
  </si>
  <si>
    <t xml:space="preserve">чоловік</t>
  </si>
  <si>
    <t xml:space="preserve">донька</t>
  </si>
  <si>
    <t xml:space="preserve">син</t>
  </si>
  <si>
    <t xml:space="preserve">донька подружжя</t>
  </si>
  <si>
    <t xml:space="preserve">син подружжя</t>
  </si>
  <si>
    <t xml:space="preserve">Тип документу (паспорт)</t>
  </si>
  <si>
    <t xml:space="preserve">Паперовий паспорт</t>
  </si>
  <si>
    <t xml:space="preserve">ID картка</t>
  </si>
  <si>
    <t xml:space="preserve">Тип документу (Військовий квіток)</t>
  </si>
  <si>
    <t xml:space="preserve">Військовий квиток</t>
  </si>
  <si>
    <t xml:space="preserve">Військовий квиток офіцера запасу</t>
  </si>
  <si>
    <t xml:space="preserve">З бази даних</t>
  </si>
  <si>
    <t xml:space="preserve">Адреси Контакти</t>
  </si>
  <si>
    <t xml:space="preserve">Область</t>
  </si>
  <si>
    <t xml:space="preserve">Район (міста)</t>
  </si>
  <si>
    <t xml:space="preserve">Освіта</t>
  </si>
  <si>
    <t xml:space="preserve">Родина</t>
  </si>
  <si>
    <t xml:space="preserve">Документи</t>
  </si>
  <si>
    <t xml:space="preserve">Тип документу (не виводиться)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</si>
</sst>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1">
    <font>
      <sz val="12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u val="single"/>
      <sz val="12"/>
      <color theme="1"/>
      <name val="Times New Roman"/>
      <family val="1"/>
      <charset val="1"/>
    </font>
    <font>
      <sz val="10"/>
      <color theme="1"/>
      <name val="Consolas"/>
      <family val="3"/>
      <charset val="1"/>
    </font>
    <font>
      <b val="true"/>
      <sz val="14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2" tint="-0.1"/>
        <bgColor rgb="FFCCCCCC"/>
      </patternFill>
    </fill>
    <fill>
      <patternFill patternType="solid">
        <fgColor rgb="FFCCCCCC"/>
        <bgColor rgb="FFD0CECE"/>
      </patternFill>
    </fill>
    <fill>
      <patternFill patternType="solid">
        <fgColor rgb="FFB2B2B2"/>
        <bgColor rgb="FFCCCCCC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3" borderId="3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9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4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Wrappe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2890625" defaultRowHeight="12.8" zeroHeight="false" outlineLevelRow="0" outlineLevelCol="0"/>
  <sheetData>
    <row r="1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48576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B9" activeCellId="0" sqref="B9"/>
    </sheetView>
  </sheetViews>
  <sheetFormatPr defaultColWidth="8.63671875" defaultRowHeight="15" zeroHeight="false" outlineLevelRow="0" outlineLevelCol="0"/>
  <cols>
    <col collapsed="false" customWidth="true" hidden="false" outlineLevel="0" max="1" min="1" style="1" width="29.37"/>
    <col collapsed="false" customWidth="true" hidden="false" outlineLevel="0" max="2" min="2" style="1" width="31.08"/>
    <col collapsed="false" customWidth="true" hidden="false" outlineLevel="0" max="3" min="3" style="2" width="31.08"/>
    <col collapsed="false" customWidth="true" hidden="false" outlineLevel="0" max="4" min="4" style="2" width="54.2"/>
    <col collapsed="false" customWidth="false" hidden="false" outlineLevel="0" max="16384" min="5" style="2" width="8.63"/>
  </cols>
  <sheetData>
    <row r="2" customFormat="false" ht="23.85" hidden="false" customHeight="false" outlineLevel="0" collapsed="false">
      <c r="A2" s="3" t="s">
        <v>0</v>
      </c>
    </row>
    <row r="3" customFormat="false" ht="39.55" hidden="false" customHeight="false" outlineLevel="0" collapsed="false">
      <c r="A3" s="4" t="s">
        <v>1</v>
      </c>
    </row>
    <row r="4" customFormat="false" ht="15" hidden="false" customHeight="false" outlineLevel="0" collapsed="false">
      <c r="A4" s="3" t="s">
        <v>2</v>
      </c>
      <c r="B4" s="5" t="n">
        <v>8071187</v>
      </c>
    </row>
    <row r="5" customFormat="false" ht="15" hidden="false" customHeight="false" outlineLevel="0" collapsed="false">
      <c r="A5" s="6"/>
    </row>
    <row r="6" customFormat="false" ht="32.8" hidden="false" customHeight="false" outlineLevel="0" collapsed="false">
      <c r="A6" s="7" t="s">
        <v>3</v>
      </c>
    </row>
    <row r="7" customFormat="false" ht="17.35" hidden="false" customHeight="false" outlineLevel="0" collapsed="false">
      <c r="A7" s="7"/>
    </row>
    <row r="8" customFormat="false" ht="15" hidden="false" customHeight="false" outlineLevel="0" collapsed="false">
      <c r="A8" s="8" t="s">
        <v>4</v>
      </c>
    </row>
    <row r="9" customFormat="false" ht="15" hidden="false" customHeight="false" outlineLevel="0" collapsed="false">
      <c r="A9" s="9" t="s">
        <v>5</v>
      </c>
      <c r="B9" s="10"/>
      <c r="C9" s="2" t="str">
        <f aca="false">IF('Системна інформація'!D2 = 0, "", 'Системна інформація'!D2)</f>
        <v/>
      </c>
    </row>
    <row r="10" customFormat="false" ht="15" hidden="false" customHeight="false" outlineLevel="0" collapsed="false">
      <c r="A10" s="9" t="s">
        <v>6</v>
      </c>
      <c r="B10" s="10"/>
      <c r="C10" s="2" t="str">
        <f aca="false">IF('Системна інформація'!D3 = 0, "", 'Системна інформація'!D3)</f>
        <v/>
      </c>
    </row>
    <row r="11" customFormat="false" ht="15" hidden="false" customHeight="false" outlineLevel="0" collapsed="false">
      <c r="A11" s="9" t="s">
        <v>7</v>
      </c>
      <c r="B11" s="10"/>
      <c r="C11" s="2" t="str">
        <f aca="false">IF('Системна інформація'!D4 = 0, "", 'Системна інформація'!D4)</f>
        <v/>
      </c>
    </row>
    <row r="12" customFormat="false" ht="15" hidden="false" customHeight="false" outlineLevel="0" collapsed="false">
      <c r="A12" s="9" t="s">
        <v>8</v>
      </c>
      <c r="B12" s="10"/>
      <c r="C12" s="2" t="str">
        <f aca="false">IF('Системна інформація'!D5 = 0, "", 'Системна інформація'!D5)</f>
        <v/>
      </c>
      <c r="D12" s="11" t="s">
        <v>9</v>
      </c>
    </row>
    <row r="13" customFormat="false" ht="15" hidden="false" customHeight="false" outlineLevel="0" collapsed="false">
      <c r="A13" s="9" t="s">
        <v>10</v>
      </c>
      <c r="B13" s="10"/>
      <c r="C13" s="2" t="str">
        <f aca="false">IF('Системна інформація'!D6 = 0, "", 'Системна інформація'!D6)</f>
        <v/>
      </c>
    </row>
    <row r="14" customFormat="false" ht="15" hidden="false" customHeight="false" outlineLevel="0" collapsed="false">
      <c r="A14" s="9" t="s">
        <v>11</v>
      </c>
      <c r="B14" s="12"/>
      <c r="C14" s="2" t="str">
        <f aca="false">IF('Системна інформація'!D7 = 0, "", 'Системна інформація'!D7)</f>
        <v/>
      </c>
      <c r="D14" s="11" t="s">
        <v>12</v>
      </c>
    </row>
    <row r="15" customFormat="false" ht="15" hidden="false" customHeight="false" outlineLevel="0" collapsed="false">
      <c r="A15" s="9" t="s">
        <v>13</v>
      </c>
      <c r="B15" s="10"/>
      <c r="C15" s="2" t="str">
        <f aca="false">IF('Системна інформація'!D8 = 0, "", 'Системна інформація'!D8)</f>
        <v/>
      </c>
      <c r="D15" s="11" t="s">
        <v>12</v>
      </c>
    </row>
    <row r="16" customFormat="false" ht="15" hidden="false" customHeight="false" outlineLevel="0" collapsed="false">
      <c r="A16" s="9" t="s">
        <v>14</v>
      </c>
      <c r="B16" s="12"/>
      <c r="C16" s="2" t="str">
        <f aca="false">IF('Системна інформація'!D9 = 0, "", 'Системна інформація'!D9)</f>
        <v/>
      </c>
      <c r="D16" s="11" t="s">
        <v>15</v>
      </c>
    </row>
    <row r="17" customFormat="false" ht="15" hidden="false" customHeight="false" outlineLevel="0" collapsed="false">
      <c r="A17" s="9" t="s">
        <v>16</v>
      </c>
      <c r="B17" s="12"/>
      <c r="C17" s="2" t="str">
        <f aca="false">IF('Системна інформація'!D10 = 0, "", 'Системна інформація'!D10)</f>
        <v/>
      </c>
      <c r="D17" s="11" t="s">
        <v>17</v>
      </c>
    </row>
    <row r="18" customFormat="false" ht="15" hidden="false" customHeight="false" outlineLevel="0" collapsed="false">
      <c r="A18" s="9" t="s">
        <v>18</v>
      </c>
      <c r="B18" s="13"/>
      <c r="C18" s="2" t="str">
        <f aca="false">IF('Системна інформація'!D11 = 0, "", 'Системна інформація'!D11)</f>
        <v/>
      </c>
      <c r="D18" s="11" t="s">
        <v>12</v>
      </c>
    </row>
    <row r="19" customFormat="false" ht="15" hidden="false" customHeight="false" outlineLevel="0" collapsed="false">
      <c r="A19" s="14"/>
      <c r="B19" s="15"/>
    </row>
    <row r="20" customFormat="false" ht="15" hidden="false" customHeight="false" outlineLevel="0" collapsed="false">
      <c r="A20" s="8" t="s">
        <v>19</v>
      </c>
      <c r="B20" s="15"/>
    </row>
    <row r="21" customFormat="false" ht="15" hidden="false" customHeight="false" outlineLevel="0" collapsed="false">
      <c r="A21" s="9" t="s">
        <v>20</v>
      </c>
      <c r="B21" s="12"/>
      <c r="C21" s="2" t="str">
        <f aca="false">IF('Системна інформація'!D12 = 0, "", 'Системна інформація'!D12)</f>
        <v/>
      </c>
      <c r="D21" s="11" t="s">
        <v>21</v>
      </c>
    </row>
    <row r="22" customFormat="false" ht="15" hidden="false" customHeight="false" outlineLevel="0" collapsed="false">
      <c r="A22" s="9" t="s">
        <v>22</v>
      </c>
      <c r="B22" s="12"/>
      <c r="C22" s="2" t="str">
        <f aca="false">IF('Системна інформація'!D13 = 0, "", 'Системна інформація'!D13)</f>
        <v/>
      </c>
      <c r="D22" s="11" t="s">
        <v>23</v>
      </c>
    </row>
    <row r="23" customFormat="false" ht="15" hidden="false" customHeight="false" outlineLevel="0" collapsed="false">
      <c r="A23" s="9" t="s">
        <v>24</v>
      </c>
      <c r="B23" s="12"/>
      <c r="C23" s="2" t="str">
        <f aca="false">IF('Системна інформація'!D14 = 0, "", 'Системна інформація'!D14)</f>
        <v/>
      </c>
      <c r="D23" s="11" t="s">
        <v>25</v>
      </c>
    </row>
    <row r="24" customFormat="false" ht="15" hidden="false" customHeight="false" outlineLevel="0" collapsed="false">
      <c r="A24" s="9" t="s">
        <v>26</v>
      </c>
      <c r="B24" s="12"/>
      <c r="C24" s="2" t="str">
        <f aca="false">IF('Системна інформація'!D15 = 0, "", 'Системна інформація'!D15)</f>
        <v/>
      </c>
      <c r="D24" s="11" t="s">
        <v>27</v>
      </c>
    </row>
    <row r="25" customFormat="false" ht="15" hidden="false" customHeight="false" outlineLevel="0" collapsed="false">
      <c r="A25" s="9" t="s">
        <v>28</v>
      </c>
      <c r="B25" s="12"/>
      <c r="C25" s="2" t="str">
        <f aca="false">IF('Системна інформація'!D16 = 0, "", 'Системна інформація'!D16)</f>
        <v/>
      </c>
      <c r="D25" s="11" t="s">
        <v>9</v>
      </c>
    </row>
    <row r="26" customFormat="false" ht="15" hidden="false" customHeight="false" outlineLevel="0" collapsed="false">
      <c r="B26" s="16"/>
    </row>
    <row r="27" customFormat="false" ht="28.05" hidden="false" customHeight="false" outlineLevel="0" collapsed="false">
      <c r="A27" s="8" t="s">
        <v>29</v>
      </c>
      <c r="B27" s="16"/>
    </row>
    <row r="28" customFormat="false" ht="15" hidden="false" customHeight="false" outlineLevel="0" collapsed="false">
      <c r="A28" s="9" t="s">
        <v>30</v>
      </c>
      <c r="B28" s="12"/>
      <c r="C28" s="2" t="str">
        <f aca="false">IF('Системна інформація'!D17 = 0, "", 'Системна інформація'!D17)</f>
        <v/>
      </c>
      <c r="D28" s="11" t="s">
        <v>12</v>
      </c>
    </row>
    <row r="29" customFormat="false" ht="15" hidden="false" customHeight="false" outlineLevel="0" collapsed="false">
      <c r="A29" s="9" t="s">
        <v>31</v>
      </c>
      <c r="B29" s="12"/>
      <c r="C29" s="2" t="str">
        <f aca="false">IF('Системна інформація'!D18 = 0, "", 'Системна інформація'!D18)</f>
        <v/>
      </c>
      <c r="D29" s="11" t="s">
        <v>12</v>
      </c>
    </row>
    <row r="30" customFormat="false" ht="15" hidden="false" customHeight="false" outlineLevel="0" collapsed="false">
      <c r="A30" s="9" t="s">
        <v>32</v>
      </c>
      <c r="B30" s="12"/>
      <c r="C30" s="2" t="str">
        <f aca="false">IF('Системна інформація'!D19 = 0, "", 'Системна інформація'!D19)</f>
        <v/>
      </c>
      <c r="D30" s="11" t="s">
        <v>33</v>
      </c>
    </row>
    <row r="31" customFormat="false" ht="15" hidden="false" customHeight="false" outlineLevel="0" collapsed="false">
      <c r="A31" s="9" t="s">
        <v>34</v>
      </c>
      <c r="B31" s="12"/>
      <c r="C31" s="2" t="str">
        <f aca="false">IF('Системна інформація'!D20 = 0, "", 'Системна інформація'!D20)</f>
        <v/>
      </c>
      <c r="D31" s="11" t="s">
        <v>35</v>
      </c>
    </row>
    <row r="32" customFormat="false" ht="28.05" hidden="false" customHeight="false" outlineLevel="0" collapsed="false">
      <c r="A32" s="9" t="s">
        <v>36</v>
      </c>
      <c r="B32" s="12"/>
      <c r="C32" s="2" t="str">
        <f aca="false">IF('Системна інформація'!D21 = 0, "", 'Системна інформація'!D21)</f>
        <v/>
      </c>
      <c r="D32" s="11" t="s">
        <v>37</v>
      </c>
    </row>
    <row r="33" customFormat="false" ht="28.05" hidden="false" customHeight="false" outlineLevel="0" collapsed="false">
      <c r="A33" s="9" t="s">
        <v>38</v>
      </c>
      <c r="B33" s="12"/>
      <c r="C33" s="2" t="str">
        <f aca="false">IF('Системна інформація'!D22 = 0, "", 'Системна інформація'!D22)</f>
        <v/>
      </c>
      <c r="D33" s="11" t="s">
        <v>39</v>
      </c>
    </row>
    <row r="34" customFormat="false" ht="41.25" hidden="false" customHeight="false" outlineLevel="0" collapsed="false">
      <c r="A34" s="9" t="s">
        <v>40</v>
      </c>
      <c r="B34" s="12"/>
      <c r="C34" s="2" t="str">
        <f aca="false">IF('Системна інформація'!D23 = 0, "", 'Системна інформація'!D23)</f>
        <v/>
      </c>
      <c r="D34" s="11" t="s">
        <v>41</v>
      </c>
    </row>
    <row r="1048576" customFormat="false" ht="12.8" hidden="false" customHeight="false" outlineLevel="0" collapsed="false"/>
  </sheetData>
  <dataValidations count="15">
    <dataValidation allowBlank="false" errorStyle="stop" operator="equal" showDropDown="false" showErrorMessage="true" showInputMessage="true" sqref="B14" type="list">
      <formula1>'Системна інформація'!$Q$2:$ZA$2</formula1>
      <formula2>0</formula2>
    </dataValidation>
    <dataValidation allowBlank="false" errorStyle="stop" operator="equal" showDropDown="false" showErrorMessage="true" showInputMessage="true" sqref="B15" type="list">
      <formula1>'Системна інформація'!$Q$3:$ZA$3</formula1>
      <formula2>0</formula2>
    </dataValidation>
    <dataValidation allowBlank="false" errorStyle="stop" operator="equal" showDropDown="false" showErrorMessage="true" showInputMessage="false" sqref="B16" type="list">
      <formula1>'Системна інформація'!$Q$17:$ZA$17</formula1>
      <formula2>0</formula2>
    </dataValidation>
    <dataValidation allowBlank="false" errorStyle="stop" operator="equal" showDropDown="false" showErrorMessage="true" showInputMessage="false" sqref="B17" type="list">
      <formula1>'Системна інформація'!$Q$18:$ZA$18</formula1>
      <formula2>0</formula2>
    </dataValidation>
    <dataValidation allowBlank="false" errorStyle="stop" operator="equal" showDropDown="false" showErrorMessage="true" showInputMessage="true" sqref="B18" type="list">
      <formula1>'Системна інформація'!$Q$4:$ZA$4</formula1>
      <formula2>0</formula2>
    </dataValidation>
    <dataValidation allowBlank="false" errorStyle="stop" operator="equal" showDropDown="false" showErrorMessage="true" showInputMessage="true" sqref="B28" type="list">
      <formula1>'Системна інформація'!$Q$5:$ZA$5</formula1>
      <formula2>0</formula2>
    </dataValidation>
    <dataValidation allowBlank="true" errorStyle="stop" operator="equal" showDropDown="false" showErrorMessage="true" showInputMessage="true" sqref="B29" type="list">
      <formula1>"1,2"</formula1>
      <formula2>0</formula2>
    </dataValidation>
    <dataValidation allowBlank="false" errorStyle="stop" operator="equal" showDropDown="false" showErrorMessage="true" showInputMessage="false" sqref="B30" type="list">
      <formula1>'Системна інформація'!$Q$22:$ZA$22</formula1>
      <formula2>0</formula2>
    </dataValidation>
    <dataValidation allowBlank="false" errorStyle="stop" operator="equal" showDropDown="false" showErrorMessage="true" showInputMessage="true" sqref="B31" type="list">
      <formula1>'Системна інформація'!$Q$23:$ZA$23</formula1>
      <formula2>0</formula2>
    </dataValidation>
    <dataValidation allowBlank="false" error="Перевірте наявність своєї посади в списку. У випадку його відсутності - введіть назву в це поле і натисніть ОК" errorStyle="warning" errorTitle="Такої посади наразі не існує" operator="equal" showDropDown="false" showErrorMessage="true" showInputMessage="false" sqref="B23" type="list">
      <formula1>'Системна інформація'!$Q$21:$ZA$21</formula1>
      <formula2>0</formula2>
    </dataValidation>
    <dataValidation allowBlank="false" error="Перевірте наявність своєї кафедри в списку. У випадку його відсутності - введіть назву в це поле і натисніть ОК" errorStyle="warning" errorTitle=" Такої кафедри наразі не існує" operator="equal" showDropDown="false" showErrorMessage="true" showInputMessage="false" sqref="B22" type="list">
      <formula1>'Системна інформація'!$Q$20:$ZA$20</formula1>
      <formula2>0</formula2>
    </dataValidation>
    <dataValidation allowBlank="false" error="Перевірте наявність свого інституту в списку. У випадку його відсутності - введіть назву в це поле і натисніть ОК" errorStyle="warning" errorTitle="Такого інституту наразі не існує" operator="equal" showDropDown="false" showErrorMessage="true" showInputMessage="false" sqref="B21" type="list">
      <formula1>'Системна інформація'!$Q$19:$ZA$19</formula1>
      <formula2>0</formula2>
    </dataValidation>
    <dataValidation allowBlank="false" error="Перевірте наявність свого ТЦК в списку. У випадку його відсутності - введіть назву в це поле і натисніть ОК" errorStyle="warning" errorTitle="Такого ТЦК наразі не існує" operator="equal" showDropDown="false" showErrorMessage="true" showInputMessage="false" sqref="B34" type="list">
      <formula1>'Системна інформація'!$Q$24:$ZA$24</formula1>
      <formula2>0</formula2>
    </dataValidation>
    <dataValidation allowBlank="false" error="Перевірте наявність свого типу придатності в списку. У випадку його відсутності - введіть назву в це поле і натисніть ОК" errorStyle="information" errorTitle="Даного типу придатності не є в списку" operator="equal" showDropDown="false" showErrorMessage="true" showInputMessage="true" sqref="B33" type="list">
      <formula1>'Системна інформація'!$Q$7:$ZA$7</formula1>
      <formula2>0</formula2>
    </dataValidation>
    <dataValidation allowBlank="false" errorStyle="stop" operator="equal" showDropDown="false" showErrorMessage="true" showInputMessage="false" sqref="B24" type="none">
      <formula1>'Системна інформація'!$Q$21:$ZA$21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11" activeCellId="0" sqref="B11"/>
    </sheetView>
  </sheetViews>
  <sheetFormatPr defaultColWidth="8.62890625" defaultRowHeight="15" zeroHeight="false" outlineLevelRow="0" outlineLevelCol="0"/>
  <cols>
    <col collapsed="false" customWidth="true" hidden="false" outlineLevel="0" max="1" min="1" style="17" width="24"/>
    <col collapsed="false" customWidth="true" hidden="false" outlineLevel="0" max="2" min="2" style="1" width="32.76"/>
    <col collapsed="false" customWidth="true" hidden="false" outlineLevel="0" max="3" min="3" style="17" width="32.76"/>
    <col collapsed="false" customWidth="true" hidden="false" outlineLevel="0" max="4" min="4" style="17" width="8.8"/>
  </cols>
  <sheetData>
    <row r="1" customFormat="false" ht="15" hidden="false" customHeight="false" outlineLevel="0" collapsed="false">
      <c r="A1" s="18" t="s">
        <v>42</v>
      </c>
    </row>
    <row r="3" customFormat="false" ht="15" hidden="false" customHeight="false" outlineLevel="0" collapsed="false">
      <c r="A3" s="18" t="s">
        <v>43</v>
      </c>
      <c r="B3" s="14"/>
      <c r="C3" s="19"/>
      <c r="D3" s="19"/>
    </row>
    <row r="4" customFormat="false" ht="15" hidden="false" customHeight="false" outlineLevel="0" collapsed="false">
      <c r="A4" s="20" t="s">
        <v>44</v>
      </c>
      <c r="B4" s="21"/>
      <c r="C4" s="19" t="str">
        <f aca="false">IF('Системна інформація'!D24 = 0, "", 'Системна інформація'!D24)</f>
        <v/>
      </c>
      <c r="D4" s="22" t="s">
        <v>45</v>
      </c>
    </row>
    <row r="5" customFormat="false" ht="15" hidden="false" customHeight="false" outlineLevel="0" collapsed="false">
      <c r="A5" s="23" t="s">
        <v>46</v>
      </c>
      <c r="B5" s="24"/>
      <c r="C5" s="19" t="str">
        <f aca="false">IF('Системна інформація'!D25 = 0, "", 'Системна інформація'!D25)</f>
        <v/>
      </c>
      <c r="D5" s="17" t="s">
        <v>47</v>
      </c>
    </row>
    <row r="6" customFormat="false" ht="15" hidden="false" customHeight="false" outlineLevel="0" collapsed="false">
      <c r="A6" s="23" t="s">
        <v>48</v>
      </c>
      <c r="B6" s="24"/>
      <c r="C6" s="19" t="str">
        <f aca="false">IF('Системна інформація'!D26 = 0, "", 'Системна інформація'!D26)</f>
        <v/>
      </c>
      <c r="D6" s="17" t="s">
        <v>27</v>
      </c>
    </row>
    <row r="7" s="22" customFormat="true" ht="28.05" hidden="false" customHeight="false" outlineLevel="0" collapsed="false">
      <c r="A7" s="25" t="s">
        <v>49</v>
      </c>
      <c r="B7" s="24"/>
      <c r="C7" s="19" t="str">
        <f aca="false">IF('Системна інформація'!D27 = 0, "", 'Системна інформація'!D27)</f>
        <v/>
      </c>
      <c r="D7" s="17"/>
    </row>
    <row r="8" s="22" customFormat="true" ht="15" hidden="false" customHeight="false" outlineLevel="0" collapsed="false">
      <c r="A8" s="23" t="s">
        <v>50</v>
      </c>
      <c r="B8" s="24"/>
      <c r="C8" s="19" t="str">
        <f aca="false">IF('Системна інформація'!D28 = 0, "", 'Системна інформація'!D28)</f>
        <v/>
      </c>
      <c r="D8" s="17" t="s">
        <v>51</v>
      </c>
    </row>
    <row r="9" s="22" customFormat="true" ht="15" hidden="false" customHeight="false" outlineLevel="0" collapsed="false">
      <c r="A9" s="26"/>
      <c r="B9" s="27"/>
      <c r="C9" s="2"/>
      <c r="D9" s="17"/>
    </row>
    <row r="10" s="22" customFormat="true" ht="15" hidden="false" customHeight="false" outlineLevel="0" collapsed="false">
      <c r="A10" s="18" t="s">
        <v>52</v>
      </c>
      <c r="B10" s="28"/>
      <c r="C10" s="2"/>
      <c r="D10" s="17"/>
    </row>
    <row r="11" customFormat="false" ht="28.05" hidden="false" customHeight="false" outlineLevel="0" collapsed="false">
      <c r="A11" s="25" t="s">
        <v>53</v>
      </c>
      <c r="B11" s="24"/>
      <c r="C11" s="19" t="str">
        <f aca="false">IF('Системна інформація'!D29 = 0, "", 'Системна інформація'!D29)</f>
        <v/>
      </c>
      <c r="D11" s="17" t="s">
        <v>54</v>
      </c>
    </row>
    <row r="12" customFormat="false" ht="28.05" hidden="false" customHeight="false" outlineLevel="0" collapsed="false">
      <c r="A12" s="25" t="s">
        <v>55</v>
      </c>
      <c r="B12" s="24"/>
      <c r="C12" s="19" t="str">
        <f aca="false">IF('Системна інформація'!D30 = 0, "", 'Системна інформація'!D30)</f>
        <v/>
      </c>
      <c r="D12" s="17" t="s">
        <v>54</v>
      </c>
    </row>
    <row r="13" customFormat="false" ht="15" hidden="false" customHeight="false" outlineLevel="0" collapsed="false">
      <c r="B13" s="28"/>
      <c r="C13" s="2"/>
    </row>
    <row r="14" customFormat="false" ht="15" hidden="false" customHeight="false" outlineLevel="0" collapsed="false">
      <c r="A14" s="18" t="s">
        <v>56</v>
      </c>
      <c r="B14" s="29"/>
      <c r="C14" s="2"/>
      <c r="D14" s="19"/>
    </row>
    <row r="15" customFormat="false" ht="28.05" hidden="false" customHeight="false" outlineLevel="0" collapsed="false">
      <c r="A15" s="30" t="s">
        <v>57</v>
      </c>
      <c r="B15" s="21"/>
      <c r="C15" s="19" t="str">
        <f aca="false">IF('Системна інформація'!D31 = 0, "", 'Системна інформація'!D31)</f>
        <v/>
      </c>
      <c r="D15" s="19" t="s">
        <v>12</v>
      </c>
    </row>
    <row r="16" customFormat="false" ht="15" hidden="false" customHeight="false" outlineLevel="0" collapsed="false">
      <c r="A16" s="19"/>
      <c r="B16" s="31"/>
      <c r="C16" s="2"/>
      <c r="D16" s="19"/>
    </row>
    <row r="17" customFormat="false" ht="15" hidden="false" customHeight="false" outlineLevel="0" collapsed="false">
      <c r="A17" s="20" t="s">
        <v>44</v>
      </c>
      <c r="B17" s="21"/>
      <c r="C17" s="19" t="str">
        <f aca="false">IF('Системна інформація'!D32 = 0, "", 'Системна інформація'!D32)</f>
        <v/>
      </c>
      <c r="D17" s="22" t="s">
        <v>45</v>
      </c>
    </row>
    <row r="18" customFormat="false" ht="15" hidden="false" customHeight="false" outlineLevel="0" collapsed="false">
      <c r="A18" s="23" t="s">
        <v>46</v>
      </c>
      <c r="B18" s="24"/>
      <c r="C18" s="19" t="str">
        <f aca="false">IF('Системна інформація'!D33 = 0, "", 'Системна інформація'!D33)</f>
        <v/>
      </c>
      <c r="D18" s="17" t="s">
        <v>47</v>
      </c>
    </row>
    <row r="19" customFormat="false" ht="15" hidden="false" customHeight="false" outlineLevel="0" collapsed="false">
      <c r="A19" s="23" t="s">
        <v>48</v>
      </c>
      <c r="B19" s="24"/>
      <c r="C19" s="19" t="str">
        <f aca="false">IF('Системна інформація'!D34 = 0, "", 'Системна інформація'!D34)</f>
        <v/>
      </c>
      <c r="D19" s="17" t="s">
        <v>27</v>
      </c>
    </row>
    <row r="20" customFormat="false" ht="28.05" hidden="false" customHeight="false" outlineLevel="0" collapsed="false">
      <c r="A20" s="25" t="s">
        <v>49</v>
      </c>
      <c r="B20" s="24"/>
      <c r="C20" s="19" t="str">
        <f aca="false">IF('Системна інформація'!D35 = 0, "", 'Системна інформація'!D35)</f>
        <v/>
      </c>
    </row>
    <row r="21" customFormat="false" ht="15" hidden="false" customHeight="false" outlineLevel="0" collapsed="false">
      <c r="A21" s="23" t="s">
        <v>50</v>
      </c>
      <c r="B21" s="24"/>
      <c r="C21" s="19" t="str">
        <f aca="false">IF('Системна інформація'!D36 = 0, "", 'Системна інформація'!D36)</f>
        <v/>
      </c>
      <c r="D21" s="17" t="s">
        <v>51</v>
      </c>
    </row>
    <row r="22" customFormat="false" ht="15" hidden="false" customHeight="false" outlineLevel="0" collapsed="false">
      <c r="C22" s="19"/>
    </row>
    <row r="23" customFormat="false" ht="15" hidden="false" customHeight="false" outlineLevel="0" collapsed="false">
      <c r="C23" s="19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4">
    <dataValidation allowBlank="false" errorStyle="stop" operator="equal" showDropDown="false" showErrorMessage="true" showInputMessage="false" sqref="B4 B17" type="list">
      <formula1>'Системна інформація'!$Q$25:$ZA$25</formula1>
      <formula2>0</formula2>
    </dataValidation>
    <dataValidation allowBlank="false" errorStyle="stop" operator="equal" showDropDown="false" showErrorMessage="true" showInputMessage="true" sqref="B15" type="list">
      <formula1>'Системна інформація'!$Q$9:$R$9</formula1>
      <formula2>0</formula2>
    </dataValidation>
    <dataValidation allowBlank="false" error="Перевірте наявність своєї області в списку. У випадку його відсутності - введіть назву в це поле і натисніть ОК" errorStyle="warning" errorTitle="Такої області наразі не існує" operator="equal" showDropDown="false" showErrorMessage="true" showInputMessage="false" sqref="B5" type="list">
      <formula1>'Системна інформація'!$Q$26:$ZA$26</formula1>
      <formula2>0</formula2>
    </dataValidation>
    <dataValidation allowBlank="false" error="Перевірте наявність своєї області в списку. У випадку його відсутності - введіть назву в це поле і натисніть ОК" errorStyle="warning" errorTitle="Такої області наразі не існує" operator="equal" showDropDown="false" showErrorMessage="true" showInputMessage="false" sqref="B18" type="list">
      <formula1>'Системна інформація'!$Q$26:$ZA$26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3" activeCellId="0" sqref="A13"/>
    </sheetView>
  </sheetViews>
  <sheetFormatPr defaultColWidth="8.63671875" defaultRowHeight="15" zeroHeight="false" outlineLevelRow="0" outlineLevelCol="0"/>
  <cols>
    <col collapsed="false" customWidth="true" hidden="false" outlineLevel="0" max="1" min="1" style="2" width="28.46"/>
    <col collapsed="false" customWidth="true" hidden="false" outlineLevel="0" max="7" min="2" style="2" width="16.56"/>
    <col collapsed="false" customWidth="false" hidden="false" outlineLevel="0" max="16383" min="9" style="2" width="8.63"/>
    <col collapsed="false" customWidth="true" hidden="false" outlineLevel="0" max="16384" min="16384" style="2" width="10.67"/>
  </cols>
  <sheetData>
    <row r="1" customFormat="false" ht="15" hidden="false" customHeight="false" outlineLevel="0" collapsed="false">
      <c r="A1" s="32" t="s">
        <v>58</v>
      </c>
      <c r="B1" s="31"/>
      <c r="C1" s="31"/>
      <c r="D1" s="31"/>
      <c r="E1" s="31"/>
      <c r="F1" s="31"/>
      <c r="G1" s="31"/>
    </row>
    <row r="2" customFormat="false" ht="15" hidden="false" customHeight="false" outlineLevel="0" collapsed="false">
      <c r="A2" s="31"/>
      <c r="B2" s="31"/>
      <c r="C2" s="31"/>
      <c r="D2" s="31"/>
      <c r="E2" s="31"/>
      <c r="F2" s="31"/>
      <c r="G2" s="31"/>
    </row>
    <row r="3" customFormat="false" ht="15" hidden="false" customHeight="false" outlineLevel="0" collapsed="false">
      <c r="A3" s="32" t="s">
        <v>59</v>
      </c>
      <c r="B3" s="33"/>
      <c r="C3" s="31"/>
      <c r="D3" s="31"/>
      <c r="E3" s="31"/>
      <c r="F3" s="31"/>
      <c r="G3" s="31"/>
    </row>
    <row r="4" customFormat="false" ht="66" hidden="false" customHeight="true" outlineLevel="0" collapsed="false">
      <c r="A4" s="34" t="s">
        <v>60</v>
      </c>
      <c r="B4" s="35" t="s">
        <v>61</v>
      </c>
      <c r="C4" s="35" t="s">
        <v>62</v>
      </c>
      <c r="D4" s="35" t="s">
        <v>63</v>
      </c>
      <c r="E4" s="34" t="s">
        <v>64</v>
      </c>
      <c r="F4" s="34" t="s">
        <v>65</v>
      </c>
      <c r="G4" s="35" t="s">
        <v>66</v>
      </c>
      <c r="H4" s="35" t="s">
        <v>67</v>
      </c>
    </row>
    <row r="5" customFormat="false" ht="15" hidden="false" customHeight="false" outlineLevel="0" collapsed="false">
      <c r="A5" s="36"/>
      <c r="B5" s="37"/>
      <c r="C5" s="37"/>
      <c r="D5" s="37"/>
      <c r="E5" s="37"/>
      <c r="F5" s="37"/>
      <c r="G5" s="37"/>
      <c r="H5" s="37"/>
    </row>
    <row r="6" customFormat="false" ht="15" hidden="false" customHeight="false" outlineLevel="0" collapsed="false">
      <c r="A6" s="36"/>
      <c r="B6" s="37"/>
      <c r="C6" s="37"/>
      <c r="D6" s="37"/>
      <c r="E6" s="37"/>
      <c r="F6" s="37"/>
      <c r="G6" s="37"/>
      <c r="H6" s="37"/>
    </row>
    <row r="7" customFormat="false" ht="15" hidden="false" customHeight="false" outlineLevel="0" collapsed="false">
      <c r="A7" s="36"/>
      <c r="B7" s="37"/>
      <c r="C7" s="37"/>
      <c r="D7" s="37"/>
      <c r="E7" s="37"/>
      <c r="F7" s="37"/>
      <c r="G7" s="37"/>
      <c r="H7" s="37"/>
    </row>
    <row r="8" customFormat="false" ht="15" hidden="false" customHeight="false" outlineLevel="0" collapsed="false">
      <c r="A8" s="36"/>
      <c r="B8" s="37"/>
      <c r="C8" s="37"/>
      <c r="D8" s="37"/>
      <c r="E8" s="37"/>
      <c r="F8" s="37"/>
      <c r="G8" s="37"/>
      <c r="H8" s="37"/>
    </row>
    <row r="9" customFormat="false" ht="15" hidden="false" customHeight="false" outlineLevel="0" collapsed="false">
      <c r="A9" s="31"/>
      <c r="B9" s="31"/>
      <c r="D9" s="38" t="s">
        <v>68</v>
      </c>
      <c r="E9" s="31"/>
      <c r="F9" s="31"/>
      <c r="G9" s="38" t="s">
        <v>12</v>
      </c>
      <c r="H9" s="38" t="s">
        <v>12</v>
      </c>
    </row>
    <row r="10" customFormat="false" ht="15" hidden="false" customHeight="false" outlineLevel="0" collapsed="false">
      <c r="A10" s="31"/>
      <c r="B10" s="31"/>
      <c r="C10" s="31"/>
      <c r="D10" s="31"/>
      <c r="E10" s="31"/>
      <c r="F10" s="31"/>
      <c r="G10" s="31"/>
    </row>
    <row r="11" customFormat="false" ht="39.55" hidden="false" customHeight="false" outlineLevel="0" collapsed="false">
      <c r="A11" s="32" t="s">
        <v>69</v>
      </c>
      <c r="B11" s="31"/>
      <c r="C11" s="31"/>
      <c r="D11" s="31"/>
      <c r="E11" s="31"/>
      <c r="F11" s="31"/>
      <c r="G11" s="31"/>
    </row>
    <row r="12" customFormat="false" ht="37.3" hidden="false" customHeight="true" outlineLevel="0" collapsed="false">
      <c r="A12" s="34" t="s">
        <v>70</v>
      </c>
      <c r="B12" s="34" t="s">
        <v>63</v>
      </c>
      <c r="C12" s="34" t="s">
        <v>71</v>
      </c>
    </row>
    <row r="13" customFormat="false" ht="15" hidden="false" customHeight="false" outlineLevel="0" collapsed="false">
      <c r="A13" s="36"/>
      <c r="B13" s="39"/>
      <c r="C13" s="39"/>
    </row>
    <row r="14" customFormat="false" ht="15" hidden="false" customHeight="false" outlineLevel="0" collapsed="false">
      <c r="A14" s="36"/>
      <c r="B14" s="39"/>
      <c r="C14" s="39"/>
    </row>
    <row r="15" customFormat="false" ht="15" hidden="false" customHeight="false" outlineLevel="0" collapsed="false">
      <c r="A15" s="36"/>
      <c r="B15" s="39"/>
      <c r="C15" s="39"/>
    </row>
    <row r="16" customFormat="false" ht="15" hidden="false" customHeight="false" outlineLevel="0" collapsed="false">
      <c r="A16" s="36"/>
      <c r="B16" s="39"/>
      <c r="C16" s="39"/>
    </row>
    <row r="17" customFormat="false" ht="15" hidden="false" customHeight="false" outlineLevel="0" collapsed="false">
      <c r="A17" s="36"/>
      <c r="B17" s="39"/>
      <c r="C17" s="39"/>
    </row>
    <row r="18" customFormat="false" ht="15" hidden="false" customHeight="false" outlineLevel="0" collapsed="false">
      <c r="A18" s="36"/>
      <c r="B18" s="39"/>
      <c r="C18" s="39"/>
    </row>
    <row r="19" customFormat="false" ht="15" hidden="false" customHeight="false" outlineLevel="0" collapsed="false">
      <c r="A19" s="31"/>
      <c r="B19" s="38" t="s">
        <v>68</v>
      </c>
      <c r="C19" s="38" t="s">
        <v>12</v>
      </c>
      <c r="F19" s="38"/>
    </row>
  </sheetData>
  <dataValidations count="5">
    <dataValidation allowBlank="false" errorStyle="stop" operator="equal" showDropDown="false" showErrorMessage="true" showInputMessage="true" sqref="C13:C18" type="list">
      <formula1>'Системна інформація'!$Q$13:$ZA$13</formula1>
      <formula2>0</formula2>
    </dataValidation>
    <dataValidation allowBlank="false" error="Перевірте наявність свого ВНЗ в списку. У випадку його відсутності - введіть назву в це поле і натисніть ОК" errorStyle="warning" errorTitle="Такого ВНЗ наразі не існує" operator="equal" showDropDown="false" showErrorMessage="true" showInputMessage="false" sqref="A13:A18" type="list">
      <formula1>'Системна інформація'!$Q$28:$ZA$28</formula1>
      <formula2>0</formula2>
    </dataValidation>
    <dataValidation allowBlank="false" error="Перевірте наявність свого ВНЗ в списку. У випадку його відсутності - введіть назву в це поле і натисніть ОК" errorStyle="warning" errorTitle="Такого ВНЗ наразі не існує" operator="equal" showDropDown="false" showErrorMessage="true" showInputMessage="false" sqref="A5:A8" type="list">
      <formula1>'Системна інформація'!$Q$28:$ZA$28</formula1>
      <formula2>0</formula2>
    </dataValidation>
    <dataValidation allowBlank="false" errorStyle="stop" operator="equal" showDropDown="false" showErrorMessage="true" showInputMessage="false" sqref="G5:G8" type="list">
      <formula1>'Системна інформація'!$Q$10:$ZA$10</formula1>
      <formula2>0</formula2>
    </dataValidation>
    <dataValidation allowBlank="false" errorStyle="stop" operator="equal" showDropDown="false" showErrorMessage="true" showInputMessage="false" sqref="H5:H8" type="list">
      <formula1>'Системна інформація'!$Q$11:$ZA$11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8.62890625" defaultRowHeight="15" zeroHeight="false" outlineLevelRow="0" outlineLevelCol="0"/>
  <cols>
    <col collapsed="false" customWidth="true" hidden="false" outlineLevel="0" max="1" min="1" style="2" width="18.7"/>
    <col collapsed="false" customWidth="true" hidden="false" outlineLevel="0" max="4" min="2" style="2" width="28.2"/>
    <col collapsed="false" customWidth="true" hidden="false" outlineLevel="0" max="5" min="5" style="2" width="14.6"/>
  </cols>
  <sheetData>
    <row r="1" customFormat="false" ht="15" hidden="false" customHeight="false" outlineLevel="0" collapsed="false">
      <c r="A1" s="40" t="s">
        <v>72</v>
      </c>
    </row>
    <row r="3" customFormat="false" ht="15" hidden="false" customHeight="false" outlineLevel="0" collapsed="false">
      <c r="A3" s="41" t="s">
        <v>73</v>
      </c>
      <c r="B3" s="41"/>
      <c r="C3" s="41"/>
      <c r="D3" s="41"/>
      <c r="E3" s="41"/>
    </row>
    <row r="4" customFormat="false" ht="26.85" hidden="false" customHeight="false" outlineLevel="0" collapsed="false">
      <c r="A4" s="42" t="s">
        <v>74</v>
      </c>
      <c r="B4" s="43" t="s">
        <v>5</v>
      </c>
      <c r="C4" s="43" t="s">
        <v>6</v>
      </c>
      <c r="D4" s="43" t="s">
        <v>75</v>
      </c>
      <c r="E4" s="43" t="s">
        <v>76</v>
      </c>
    </row>
    <row r="5" customFormat="false" ht="15" hidden="false" customHeight="false" outlineLevel="0" collapsed="false">
      <c r="A5" s="44"/>
      <c r="B5" s="45"/>
      <c r="C5" s="45"/>
      <c r="D5" s="45"/>
      <c r="E5" s="45"/>
    </row>
    <row r="6" customFormat="false" ht="15" hidden="false" customHeight="false" outlineLevel="0" collapsed="false">
      <c r="A6" s="44"/>
      <c r="B6" s="45"/>
      <c r="C6" s="45"/>
      <c r="D6" s="45"/>
      <c r="E6" s="45"/>
    </row>
    <row r="7" customFormat="false" ht="15" hidden="false" customHeight="false" outlineLevel="0" collapsed="false">
      <c r="A7" s="44"/>
      <c r="B7" s="45"/>
      <c r="C7" s="45"/>
      <c r="D7" s="45"/>
      <c r="E7" s="45"/>
    </row>
    <row r="8" customFormat="false" ht="15" hidden="false" customHeight="false" outlineLevel="0" collapsed="false">
      <c r="A8" s="44"/>
      <c r="B8" s="45"/>
      <c r="C8" s="45"/>
      <c r="D8" s="45"/>
      <c r="E8" s="45"/>
    </row>
    <row r="9" customFormat="false" ht="15" hidden="false" customHeight="false" outlineLevel="0" collapsed="false">
      <c r="A9" s="44"/>
      <c r="B9" s="45"/>
      <c r="C9" s="45"/>
      <c r="D9" s="45"/>
      <c r="E9" s="45"/>
    </row>
    <row r="10" customFormat="false" ht="15" hidden="false" customHeight="false" outlineLevel="0" collapsed="false">
      <c r="A10" s="44"/>
      <c r="B10" s="45"/>
      <c r="C10" s="45"/>
      <c r="D10" s="45"/>
      <c r="E10" s="45"/>
    </row>
    <row r="11" customFormat="false" ht="15" hidden="false" customHeight="false" outlineLevel="0" collapsed="false">
      <c r="A11" s="2" t="s">
        <v>12</v>
      </c>
      <c r="E11" s="2" t="s">
        <v>77</v>
      </c>
    </row>
  </sheetData>
  <mergeCells count="1">
    <mergeCell ref="A3:E3"/>
  </mergeCells>
  <dataValidations count="1">
    <dataValidation allowBlank="false" errorStyle="stop" operator="equal" showDropDown="false" showErrorMessage="true" showInputMessage="true" sqref="A5:A10" type="list">
      <formula1>'Системна інформація'!$Q$14:$ZA$14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8.62890625" defaultRowHeight="15" zeroHeight="false" outlineLevelRow="0" outlineLevelCol="0"/>
  <cols>
    <col collapsed="false" customWidth="true" hidden="false" outlineLevel="0" max="1" min="1" style="2" width="16.4"/>
    <col collapsed="false" customWidth="true" hidden="false" outlineLevel="0" max="3" min="2" style="2" width="32.16"/>
  </cols>
  <sheetData>
    <row r="1" customFormat="false" ht="15" hidden="false" customHeight="false" outlineLevel="0" collapsed="false">
      <c r="A1" s="40" t="s">
        <v>78</v>
      </c>
    </row>
    <row r="3" customFormat="false" ht="15" hidden="false" customHeight="false" outlineLevel="0" collapsed="false">
      <c r="A3" s="40" t="s">
        <v>79</v>
      </c>
    </row>
    <row r="4" customFormat="false" ht="15" hidden="false" customHeight="false" outlineLevel="0" collapsed="false">
      <c r="A4" s="46" t="s">
        <v>80</v>
      </c>
      <c r="B4" s="13"/>
      <c r="C4" s="2" t="str">
        <f aca="false">IF('Системна інформація'!D117 = 0, "", 'Системна інформація'!D117)</f>
        <v/>
      </c>
      <c r="D4" s="2" t="s">
        <v>12</v>
      </c>
    </row>
    <row r="5" customFormat="false" ht="15" hidden="false" customHeight="false" outlineLevel="0" collapsed="false">
      <c r="A5" s="47" t="s">
        <v>81</v>
      </c>
      <c r="B5" s="13"/>
      <c r="C5" s="2" t="str">
        <f aca="false">IF('Системна інформація'!D118 = 0, "", 'Системна інформація'!D118)</f>
        <v/>
      </c>
      <c r="D5" s="2" t="s">
        <v>82</v>
      </c>
    </row>
    <row r="6" customFormat="false" ht="15" hidden="false" customHeight="false" outlineLevel="0" collapsed="false">
      <c r="A6" s="47" t="s">
        <v>83</v>
      </c>
      <c r="B6" s="13"/>
      <c r="C6" s="2" t="str">
        <f aca="false">IF('Системна інформація'!D119 = 0, "", 'Системна інформація'!D119)</f>
        <v/>
      </c>
      <c r="D6" s="2" t="s">
        <v>84</v>
      </c>
    </row>
    <row r="7" customFormat="false" ht="15" hidden="false" customHeight="false" outlineLevel="0" collapsed="false">
      <c r="A7" s="47" t="s">
        <v>85</v>
      </c>
      <c r="B7" s="13"/>
      <c r="C7" s="2" t="str">
        <f aca="false">IF('Системна інформація'!D120 = 0, "", 'Системна інформація'!D120)</f>
        <v/>
      </c>
      <c r="D7" s="2" t="s">
        <v>9</v>
      </c>
    </row>
    <row r="8" customFormat="false" ht="15" hidden="false" customHeight="false" outlineLevel="0" collapsed="false">
      <c r="B8" s="31"/>
    </row>
    <row r="9" customFormat="false" ht="15" hidden="false" customHeight="false" outlineLevel="0" collapsed="false">
      <c r="A9" s="40" t="s">
        <v>86</v>
      </c>
      <c r="B9" s="31"/>
    </row>
    <row r="10" customFormat="false" ht="15" hidden="false" customHeight="false" outlineLevel="0" collapsed="false">
      <c r="A10" s="46" t="s">
        <v>80</v>
      </c>
      <c r="B10" s="13"/>
      <c r="C10" s="2" t="str">
        <f aca="false">IF('Системна інформація'!D121 = 0, "", 'Системна інформація'!D121)</f>
        <v/>
      </c>
      <c r="D10" s="2" t="s">
        <v>12</v>
      </c>
    </row>
    <row r="11" customFormat="false" ht="15" hidden="false" customHeight="false" outlineLevel="0" collapsed="false">
      <c r="A11" s="47" t="s">
        <v>81</v>
      </c>
      <c r="B11" s="13"/>
      <c r="C11" s="2" t="str">
        <f aca="false">IF('Системна інформація'!D122 = 0, "", 'Системна інформація'!D122)</f>
        <v/>
      </c>
      <c r="D11" s="2" t="s">
        <v>87</v>
      </c>
    </row>
    <row r="12" customFormat="false" ht="15" hidden="false" customHeight="false" outlineLevel="0" collapsed="false">
      <c r="A12" s="47" t="s">
        <v>83</v>
      </c>
      <c r="B12" s="13"/>
      <c r="C12" s="2" t="str">
        <f aca="false">IF('Системна інформація'!D123 = 0, "", 'Системна інформація'!D123)</f>
        <v/>
      </c>
    </row>
    <row r="13" customFormat="false" ht="15" hidden="false" customHeight="false" outlineLevel="0" collapsed="false">
      <c r="A13" s="47" t="s">
        <v>85</v>
      </c>
      <c r="B13" s="13"/>
      <c r="C13" s="2" t="str">
        <f aca="false">IF('Системна інформація'!D124 = 0, "", 'Системна інформація'!D124)</f>
        <v/>
      </c>
      <c r="D13" s="2" t="s">
        <v>9</v>
      </c>
    </row>
    <row r="14" customFormat="false" ht="15" hidden="false" customHeight="false" outlineLevel="0" collapsed="false">
      <c r="B14" s="31"/>
    </row>
    <row r="15" customFormat="false" ht="15" hidden="false" customHeight="false" outlineLevel="0" collapsed="false">
      <c r="A15" s="40" t="s">
        <v>88</v>
      </c>
      <c r="B15" s="31"/>
    </row>
    <row r="16" customFormat="false" ht="15" hidden="false" customHeight="false" outlineLevel="0" collapsed="false">
      <c r="A16" s="47" t="s">
        <v>81</v>
      </c>
      <c r="B16" s="13"/>
      <c r="C16" s="2" t="str">
        <f aca="false">IF('Системна інформація'!D126 = 0, "", 'Системна інформація'!D126)</f>
        <v/>
      </c>
      <c r="D16" s="2" t="s">
        <v>89</v>
      </c>
    </row>
    <row r="17" customFormat="false" ht="15" hidden="false" customHeight="false" outlineLevel="0" collapsed="false">
      <c r="A17" s="47" t="s">
        <v>83</v>
      </c>
      <c r="B17" s="13"/>
      <c r="C17" s="2" t="str">
        <f aca="false">IF('Системна інформація'!D127 = 0, "", 'Системна інформація'!D127)</f>
        <v/>
      </c>
      <c r="D17" s="2" t="s">
        <v>90</v>
      </c>
    </row>
    <row r="18" customFormat="false" ht="15" hidden="false" customHeight="false" outlineLevel="0" collapsed="false">
      <c r="A18" s="47" t="s">
        <v>85</v>
      </c>
      <c r="B18" s="13"/>
      <c r="C18" s="2" t="str">
        <f aca="false">IF('Системна інформація'!D128 = 0, "", 'Системна інформація'!D128)</f>
        <v/>
      </c>
      <c r="D18" s="2" t="s">
        <v>9</v>
      </c>
    </row>
  </sheetData>
  <dataValidations count="2">
    <dataValidation allowBlank="false" errorStyle="stop" operator="equal" showDropDown="false" showErrorMessage="true" showInputMessage="true" sqref="B4" type="list">
      <formula1>'Системна інформація'!$Q$15:$ZA$15</formula1>
      <formula2>0</formula2>
    </dataValidation>
    <dataValidation allowBlank="false" errorStyle="stop" operator="equal" showDropDown="false" showErrorMessage="true" showInputMessage="true" sqref="B10" type="list">
      <formula1>'Системна інформація'!$Q$16:$ZA$16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A13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selection pane="topLeft" activeCell="C38" activeCellId="0" sqref="C38"/>
    </sheetView>
  </sheetViews>
  <sheetFormatPr defaultColWidth="10.66796875" defaultRowHeight="15" zeroHeight="false" outlineLevelRow="0" outlineLevelCol="0"/>
  <cols>
    <col collapsed="false" customWidth="true" hidden="false" outlineLevel="0" max="1" min="1" style="48" width="23.16"/>
    <col collapsed="false" customWidth="true" hidden="false" outlineLevel="0" max="2" min="2" style="2" width="53.04"/>
    <col collapsed="false" customWidth="true" hidden="false" outlineLevel="0" max="3" min="3" style="2" width="29.04"/>
    <col collapsed="false" customWidth="true" hidden="false" outlineLevel="0" max="4" min="4" style="2" width="31.27"/>
    <col collapsed="false" customWidth="true" hidden="false" outlineLevel="0" max="15" min="15" style="2" width="19.98"/>
    <col collapsed="false" customWidth="true" hidden="false" outlineLevel="0" max="16" min="16" style="2" width="37.54"/>
  </cols>
  <sheetData>
    <row r="1" s="50" customFormat="true" ht="15" hidden="false" customHeight="false" outlineLevel="0" collapsed="false">
      <c r="A1" s="49" t="s">
        <v>91</v>
      </c>
      <c r="B1" s="50" t="s">
        <v>92</v>
      </c>
      <c r="C1" s="50" t="s">
        <v>93</v>
      </c>
      <c r="D1" s="50" t="s">
        <v>94</v>
      </c>
      <c r="F1" s="2"/>
      <c r="G1" s="51" t="s">
        <v>95</v>
      </c>
      <c r="H1" s="51"/>
      <c r="I1" s="51"/>
      <c r="J1" s="51"/>
      <c r="K1" s="51"/>
      <c r="L1" s="51"/>
      <c r="M1" s="51"/>
      <c r="N1" s="51"/>
      <c r="O1" s="52" t="s">
        <v>96</v>
      </c>
      <c r="P1" s="53" t="s">
        <v>97</v>
      </c>
      <c r="Q1" s="52" t="s">
        <v>98</v>
      </c>
      <c r="R1" s="52"/>
      <c r="S1" s="52"/>
      <c r="T1" s="52"/>
    </row>
    <row r="2" customFormat="false" ht="15" hidden="false" customHeight="false" outlineLevel="0" collapsed="false">
      <c r="A2" s="54" t="s">
        <v>99</v>
      </c>
      <c r="B2" s="47" t="str">
        <f aca="false">Основна!A9</f>
        <v>Прізвище</v>
      </c>
      <c r="C2" s="55" t="str">
        <f aca="false">IF(Основна!B9 = 0, "",  Основна!B9)</f>
        <v/>
      </c>
      <c r="D2" s="56"/>
      <c r="G2" s="57" t="n">
        <f aca="true">OFFSET($D$37,(ROW()-ROW(G$2))*8+(COLUMN()-COLUMN($G2)),0)</f>
        <v>0</v>
      </c>
      <c r="H2" s="57" t="n">
        <f aca="true">OFFSET($D$37,(ROW()-ROW(H$2))*8+(COLUMN()-COLUMN($G2)),0)</f>
        <v>0</v>
      </c>
      <c r="I2" s="57" t="n">
        <f aca="true">OFFSET($D$37,(ROW()-ROW(I$2))*8+(COLUMN()-COLUMN($G2)),0)</f>
        <v>0</v>
      </c>
      <c r="J2" s="57" t="n">
        <f aca="true">OFFSET($D$37,(ROW()-ROW(J$2))*8+(COLUMN()-COLUMN($G2)),0)</f>
        <v>0</v>
      </c>
      <c r="K2" s="57" t="n">
        <f aca="true">OFFSET($D$37,(ROW()-ROW(K$2))*8+(COLUMN()-COLUMN($G2)),0)</f>
        <v>0</v>
      </c>
      <c r="L2" s="57" t="n">
        <f aca="true">OFFSET($D$37,(ROW()-ROW(L$2))*8+(COLUMN()-COLUMN($G2)),0)</f>
        <v>0</v>
      </c>
      <c r="M2" s="57" t="n">
        <f aca="true">OFFSET($D$37,(ROW()-ROW(M$2))*8+(COLUMN()-COLUMN($G2)),0)</f>
        <v>0</v>
      </c>
      <c r="N2" s="57" t="n">
        <f aca="true">OFFSET($D$37,(ROW()-ROW(N$2))*8+(COLUMN()-COLUMN($G2)),0)</f>
        <v>0</v>
      </c>
      <c r="O2" s="58" t="s">
        <v>100</v>
      </c>
      <c r="P2" s="9" t="s">
        <v>11</v>
      </c>
      <c r="Q2" s="2" t="s">
        <v>101</v>
      </c>
      <c r="R2" s="2" t="s">
        <v>102</v>
      </c>
      <c r="S2" s="2" t="s">
        <v>103</v>
      </c>
      <c r="T2" s="2" t="s">
        <v>104</v>
      </c>
      <c r="U2" s="2" t="s">
        <v>105</v>
      </c>
      <c r="V2" s="2" t="s">
        <v>106</v>
      </c>
    </row>
    <row r="3" customFormat="false" ht="15" hidden="false" customHeight="false" outlineLevel="0" collapsed="false">
      <c r="A3" s="54"/>
      <c r="B3" s="47" t="str">
        <f aca="false">Основна!A10</f>
        <v>Ім’я</v>
      </c>
      <c r="C3" s="55" t="str">
        <f aca="false">IF(Основна!B10 = 0, "",  Основна!B10)</f>
        <v/>
      </c>
      <c r="D3" s="56"/>
      <c r="G3" s="57" t="n">
        <f aca="true">OFFSET($D$37,(ROW()-ROW(G$2))*8+(COLUMN()-COLUMN($G3)),0)</f>
        <v>0</v>
      </c>
      <c r="H3" s="57" t="n">
        <f aca="true">OFFSET($D$37,(ROW()-ROW(H$2))*8+(COLUMN()-COLUMN($G3)),0)</f>
        <v>0</v>
      </c>
      <c r="I3" s="57" t="n">
        <f aca="true">OFFSET($D$37,(ROW()-ROW(I$2))*8+(COLUMN()-COLUMN($G3)),0)</f>
        <v>0</v>
      </c>
      <c r="J3" s="57" t="n">
        <f aca="true">OFFSET($D$37,(ROW()-ROW(J$2))*8+(COLUMN()-COLUMN($G3)),0)</f>
        <v>0</v>
      </c>
      <c r="K3" s="57" t="n">
        <f aca="true">OFFSET($D$37,(ROW()-ROW(K$2))*8+(COLUMN()-COLUMN($G3)),0)</f>
        <v>0</v>
      </c>
      <c r="L3" s="57" t="n">
        <f aca="true">OFFSET($D$37,(ROW()-ROW(L$2))*8+(COLUMN()-COLUMN($G3)),0)</f>
        <v>0</v>
      </c>
      <c r="M3" s="57" t="n">
        <f aca="true">OFFSET($D$37,(ROW()-ROW(M$2))*8+(COLUMN()-COLUMN($G3)),0)</f>
        <v>0</v>
      </c>
      <c r="N3" s="57" t="n">
        <f aca="true">OFFSET($D$37,(ROW()-ROW(N$2))*8+(COLUMN()-COLUMN($G3)),0)</f>
        <v>0</v>
      </c>
      <c r="O3" s="58"/>
      <c r="P3" s="9" t="s">
        <v>13</v>
      </c>
      <c r="Q3" s="2" t="s">
        <v>107</v>
      </c>
      <c r="R3" s="2" t="s">
        <v>108</v>
      </c>
    </row>
    <row r="4" customFormat="false" ht="15" hidden="false" customHeight="false" outlineLevel="0" collapsed="false">
      <c r="A4" s="54"/>
      <c r="B4" s="47" t="str">
        <f aca="false">Основна!A11</f>
        <v>По батькові </v>
      </c>
      <c r="C4" s="55" t="str">
        <f aca="false">IF(Основна!B11 = 0, "",  Основна!B11)</f>
        <v/>
      </c>
      <c r="D4" s="56"/>
      <c r="G4" s="57" t="n">
        <f aca="true">OFFSET($D$37,(ROW()-ROW(G$2))*8+(COLUMN()-COLUMN($G4)),0)</f>
        <v>0</v>
      </c>
      <c r="H4" s="57" t="n">
        <f aca="true">OFFSET($D$37,(ROW()-ROW(H$2))*8+(COLUMN()-COLUMN($G4)),0)</f>
        <v>0</v>
      </c>
      <c r="I4" s="57" t="n">
        <f aca="true">OFFSET($D$37,(ROW()-ROW(I$2))*8+(COLUMN()-COLUMN($G4)),0)</f>
        <v>0</v>
      </c>
      <c r="J4" s="57" t="n">
        <f aca="true">OFFSET($D$37,(ROW()-ROW(J$2))*8+(COLUMN()-COLUMN($G4)),0)</f>
        <v>0</v>
      </c>
      <c r="K4" s="57" t="n">
        <f aca="true">OFFSET($D$37,(ROW()-ROW(K$2))*8+(COLUMN()-COLUMN($G4)),0)</f>
        <v>0</v>
      </c>
      <c r="L4" s="57" t="n">
        <f aca="true">OFFSET($D$37,(ROW()-ROW(L$2))*8+(COLUMN()-COLUMN($G4)),0)</f>
        <v>0</v>
      </c>
      <c r="M4" s="57" t="n">
        <f aca="true">OFFSET($D$37,(ROW()-ROW(M$2))*8+(COLUMN()-COLUMN($G4)),0)</f>
        <v>0</v>
      </c>
      <c r="N4" s="57" t="n">
        <f aca="true">OFFSET($D$37,(ROW()-ROW(N$2))*8+(COLUMN()-COLUMN($G4)),0)</f>
        <v>0</v>
      </c>
      <c r="O4" s="58"/>
      <c r="P4" s="9" t="s">
        <v>18</v>
      </c>
      <c r="Q4" s="2" t="s">
        <v>109</v>
      </c>
      <c r="R4" s="2" t="s">
        <v>110</v>
      </c>
      <c r="S4" s="2" t="s">
        <v>111</v>
      </c>
      <c r="T4" s="2" t="s">
        <v>112</v>
      </c>
      <c r="U4" s="2" t="s">
        <v>113</v>
      </c>
      <c r="V4" s="2" t="s">
        <v>114</v>
      </c>
      <c r="W4" s="2" t="s">
        <v>115</v>
      </c>
      <c r="X4" s="2" t="s">
        <v>116</v>
      </c>
    </row>
    <row r="5" customFormat="false" ht="15" hidden="false" customHeight="false" outlineLevel="0" collapsed="false">
      <c r="A5" s="54"/>
      <c r="B5" s="47" t="str">
        <f aca="false">Основна!A12</f>
        <v>Дата народження </v>
      </c>
      <c r="C5" s="55" t="str">
        <f aca="false">IF(Основна!B12 = 0, "",  Основна!B12)</f>
        <v/>
      </c>
      <c r="D5" s="56"/>
      <c r="G5" s="57" t="n">
        <f aca="true">OFFSET($D$37,(ROW()-ROW(G$2))*8+(COLUMN()-COLUMN($G5)),0)</f>
        <v>0</v>
      </c>
      <c r="H5" s="57" t="n">
        <f aca="true">OFFSET($D$37,(ROW()-ROW(H$2))*8+(COLUMN()-COLUMN($G5)),0)</f>
        <v>0</v>
      </c>
      <c r="I5" s="57" t="n">
        <f aca="true">OFFSET($D$37,(ROW()-ROW(I$2))*8+(COLUMN()-COLUMN($G5)),0)</f>
        <v>0</v>
      </c>
      <c r="J5" s="57" t="n">
        <f aca="true">OFFSET($D$37,(ROW()-ROW(J$2))*8+(COLUMN()-COLUMN($G5)),0)</f>
        <v>0</v>
      </c>
      <c r="K5" s="57" t="n">
        <f aca="true">OFFSET($D$37,(ROW()-ROW(K$2))*8+(COLUMN()-COLUMN($G5)),0)</f>
        <v>0</v>
      </c>
      <c r="L5" s="57" t="n">
        <f aca="true">OFFSET($D$37,(ROW()-ROW(L$2))*8+(COLUMN()-COLUMN($G5)),0)</f>
        <v>0</v>
      </c>
      <c r="M5" s="57" t="n">
        <f aca="true">OFFSET($D$37,(ROW()-ROW(M$2))*8+(COLUMN()-COLUMN($G5)),0)</f>
        <v>0</v>
      </c>
      <c r="N5" s="57" t="n">
        <f aca="true">OFFSET($D$37,(ROW()-ROW(N$2))*8+(COLUMN()-COLUMN($G5)),0)</f>
        <v>0</v>
      </c>
      <c r="O5" s="58"/>
      <c r="P5" s="9" t="s">
        <v>30</v>
      </c>
      <c r="Q5" s="2" t="s">
        <v>117</v>
      </c>
      <c r="R5" s="2" t="s">
        <v>118</v>
      </c>
    </row>
    <row r="6" customFormat="false" ht="15" hidden="false" customHeight="false" outlineLevel="0" collapsed="false">
      <c r="A6" s="54"/>
      <c r="B6" s="47" t="str">
        <f aca="false">Основна!A13</f>
        <v>Громадянство</v>
      </c>
      <c r="C6" s="55" t="str">
        <f aca="false">IF(Основна!B13 = 0, "",  Основна!B13)</f>
        <v/>
      </c>
      <c r="D6" s="56"/>
      <c r="G6" s="2"/>
      <c r="H6" s="2"/>
      <c r="I6" s="2"/>
      <c r="J6" s="2"/>
      <c r="K6" s="2"/>
      <c r="L6" s="2"/>
      <c r="M6" s="2"/>
      <c r="O6" s="58"/>
      <c r="P6" s="9" t="s">
        <v>31</v>
      </c>
      <c r="Q6" s="31" t="n">
        <v>1</v>
      </c>
      <c r="R6" s="31" t="n">
        <v>2</v>
      </c>
    </row>
    <row r="7" customFormat="false" ht="15" hidden="false" customHeight="true" outlineLevel="0" collapsed="false">
      <c r="A7" s="54"/>
      <c r="B7" s="47" t="str">
        <f aca="false">Основна!A14</f>
        <v>Освіта </v>
      </c>
      <c r="C7" s="55" t="str">
        <f aca="false">IF(Основна!B14 = 0, "",  Основна!B14)</f>
        <v/>
      </c>
      <c r="D7" s="56"/>
      <c r="G7" s="59" t="s">
        <v>119</v>
      </c>
      <c r="H7" s="59"/>
      <c r="I7" s="59"/>
      <c r="O7" s="58"/>
      <c r="P7" s="60" t="s">
        <v>38</v>
      </c>
      <c r="Q7" s="2" t="s">
        <v>120</v>
      </c>
      <c r="R7" s="2" t="s">
        <v>121</v>
      </c>
      <c r="S7" s="2" t="s">
        <v>122</v>
      </c>
    </row>
    <row r="8" customFormat="false" ht="15" hidden="false" customHeight="false" outlineLevel="0" collapsed="false">
      <c r="A8" s="54"/>
      <c r="B8" s="47" t="str">
        <f aca="false">Основна!A15</f>
        <v>ППС чи ІТС</v>
      </c>
      <c r="C8" s="55" t="str">
        <f aca="false">IF(Основна!B15 = 0, "",  Основна!B15)</f>
        <v/>
      </c>
      <c r="D8" s="56"/>
      <c r="G8" s="61" t="n">
        <f aca="true">OFFSET($D$69,(ROW()-ROW(G$8))*3+(COLUMN()-COLUMN($G8)),0)</f>
        <v>0</v>
      </c>
      <c r="H8" s="61" t="n">
        <f aca="true">OFFSET($D$69,(ROW()-ROW(H$8))*3+(COLUMN()-COLUMN($G8)),0)</f>
        <v>0</v>
      </c>
      <c r="I8" s="61" t="n">
        <f aca="true">OFFSET($D$69,(ROW()-ROW(I$8))*3+(COLUMN()-COLUMN($G8)),0)</f>
        <v>0</v>
      </c>
      <c r="O8" s="58"/>
      <c r="P8" s="60" t="s">
        <v>123</v>
      </c>
      <c r="Q8" s="2" t="s">
        <v>124</v>
      </c>
    </row>
    <row r="9" customFormat="false" ht="28.05" hidden="false" customHeight="false" outlineLevel="0" collapsed="false">
      <c r="A9" s="54"/>
      <c r="B9" s="47" t="str">
        <f aca="false">Основна!A16</f>
        <v>Науковий ступінь</v>
      </c>
      <c r="C9" s="55" t="str">
        <f aca="false">IF(Основна!B16 = 0, "",  Основна!B16)</f>
        <v/>
      </c>
      <c r="D9" s="56"/>
      <c r="G9" s="61" t="n">
        <f aca="true">OFFSET($D$69,(ROW()-ROW(G$8))*3+(COLUMN()-COLUMN($G9)),0)</f>
        <v>0</v>
      </c>
      <c r="H9" s="61" t="n">
        <f aca="true">OFFSET($D$69,(ROW()-ROW(H$8))*3+(COLUMN()-COLUMN($G9)),0)</f>
        <v>0</v>
      </c>
      <c r="I9" s="61" t="n">
        <f aca="true">OFFSET($D$69,(ROW()-ROW(I$8))*3+(COLUMN()-COLUMN($G9)),0)</f>
        <v>0</v>
      </c>
      <c r="O9" s="58"/>
      <c r="P9" s="30" t="s">
        <v>57</v>
      </c>
      <c r="Q9" s="2" t="s">
        <v>125</v>
      </c>
      <c r="R9" s="2" t="s">
        <v>126</v>
      </c>
    </row>
    <row r="10" customFormat="false" ht="28.05" hidden="false" customHeight="false" outlineLevel="0" collapsed="false">
      <c r="A10" s="54"/>
      <c r="B10" s="47" t="str">
        <f aca="false">Основна!A17</f>
        <v>Вчене звання</v>
      </c>
      <c r="C10" s="55" t="str">
        <f aca="false">IF(Основна!B17 = 0, "",  Основна!B17)</f>
        <v/>
      </c>
      <c r="D10" s="56"/>
      <c r="G10" s="61" t="n">
        <f aca="true">OFFSET($D$69,(ROW()-ROW(G$8))*3+(COLUMN()-COLUMN($G10)),0)</f>
        <v>0</v>
      </c>
      <c r="H10" s="61" t="n">
        <f aca="true">OFFSET($D$69,(ROW()-ROW(H$8))*3+(COLUMN()-COLUMN($G10)),0)</f>
        <v>0</v>
      </c>
      <c r="I10" s="61" t="n">
        <f aca="true">OFFSET($D$69,(ROW()-ROW(I$8))*3+(COLUMN()-COLUMN($G10)),0)</f>
        <v>0</v>
      </c>
      <c r="O10" s="58"/>
      <c r="P10" s="60" t="s">
        <v>66</v>
      </c>
      <c r="Q10" s="2" t="s">
        <v>127</v>
      </c>
      <c r="R10" s="2" t="s">
        <v>128</v>
      </c>
      <c r="S10" s="2" t="s">
        <v>129</v>
      </c>
    </row>
    <row r="11" customFormat="false" ht="15" hidden="false" customHeight="false" outlineLevel="0" collapsed="false">
      <c r="A11" s="54"/>
      <c r="B11" s="47" t="str">
        <f aca="false">Основна!A18</f>
        <v>Сімейний стан</v>
      </c>
      <c r="C11" s="55" t="str">
        <f aca="false">IF(Основна!B18 = 0, "",  Основна!B18)</f>
        <v/>
      </c>
      <c r="D11" s="56"/>
      <c r="G11" s="61" t="n">
        <f aca="true">OFFSET($D$69,(ROW()-ROW(G$8))*3+(COLUMN()-COLUMN($G11)),0)</f>
        <v>0</v>
      </c>
      <c r="H11" s="61" t="n">
        <f aca="true">OFFSET($D$69,(ROW()-ROW(H$8))*3+(COLUMN()-COLUMN($G11)),0)</f>
        <v>0</v>
      </c>
      <c r="I11" s="61" t="n">
        <f aca="true">OFFSET($D$69,(ROW()-ROW(I$8))*3+(COLUMN()-COLUMN($G11)),0)</f>
        <v>0</v>
      </c>
      <c r="O11" s="58"/>
      <c r="P11" s="60" t="s">
        <v>67</v>
      </c>
      <c r="Q11" s="2" t="s">
        <v>130</v>
      </c>
      <c r="R11" s="2" t="s">
        <v>131</v>
      </c>
      <c r="S11" s="2" t="s">
        <v>132</v>
      </c>
    </row>
    <row r="12" customFormat="false" ht="15" hidden="false" customHeight="false" outlineLevel="0" collapsed="false">
      <c r="A12" s="54"/>
      <c r="B12" s="47" t="str">
        <f aca="false">Основна!A21</f>
        <v>Інститут</v>
      </c>
      <c r="C12" s="55" t="str">
        <f aca="false">IF(Основна!B21 = 0, "",  Основна!B21)</f>
        <v/>
      </c>
      <c r="D12" s="56"/>
      <c r="G12" s="61" t="n">
        <f aca="true">OFFSET($D$69,(ROW()-ROW(G$8))*3+(COLUMN()-COLUMN($G12)),0)</f>
        <v>0</v>
      </c>
      <c r="H12" s="61" t="n">
        <f aca="true">OFFSET($D$69,(ROW()-ROW(H$8))*3+(COLUMN()-COLUMN($G12)),0)</f>
        <v>0</v>
      </c>
      <c r="I12" s="61" t="n">
        <f aca="true">OFFSET($D$69,(ROW()-ROW(I$8))*3+(COLUMN()-COLUMN($G12)),0)</f>
        <v>0</v>
      </c>
      <c r="O12" s="58"/>
      <c r="P12" s="60" t="s">
        <v>133</v>
      </c>
      <c r="Q12" s="2" t="s">
        <v>134</v>
      </c>
      <c r="R12" s="2" t="s">
        <v>135</v>
      </c>
      <c r="S12" s="2" t="s">
        <v>136</v>
      </c>
      <c r="T12" s="2" t="s">
        <v>137</v>
      </c>
      <c r="U12" s="2" t="s">
        <v>138</v>
      </c>
    </row>
    <row r="13" customFormat="false" ht="15" hidden="false" customHeight="false" outlineLevel="0" collapsed="false">
      <c r="A13" s="54"/>
      <c r="B13" s="47" t="str">
        <f aca="false">Основна!A22</f>
        <v>Кафедра (відділ)</v>
      </c>
      <c r="C13" s="56" t="str">
        <f aca="false">IF(Основна!B22 = 0, "",  Основна!B22)</f>
        <v/>
      </c>
      <c r="D13" s="56"/>
      <c r="G13" s="61" t="n">
        <f aca="true">OFFSET($D$69,(ROW()-ROW(G$8))*3+(COLUMN()-COLUMN($G13)),0)</f>
        <v>0</v>
      </c>
      <c r="H13" s="61" t="n">
        <f aca="true">OFFSET($D$69,(ROW()-ROW(H$8))*3+(COLUMN()-COLUMN($G13)),0)</f>
        <v>0</v>
      </c>
      <c r="I13" s="61" t="n">
        <f aca="true">OFFSET($D$69,(ROW()-ROW(I$8))*3+(COLUMN()-COLUMN($G13)),0)</f>
        <v>0</v>
      </c>
      <c r="O13" s="58"/>
      <c r="P13" s="60" t="s">
        <v>71</v>
      </c>
      <c r="Q13" s="2" t="s">
        <v>139</v>
      </c>
      <c r="R13" s="2" t="s">
        <v>140</v>
      </c>
      <c r="S13" s="2" t="s">
        <v>141</v>
      </c>
    </row>
    <row r="14" customFormat="false" ht="15" hidden="false" customHeight="false" outlineLevel="0" collapsed="false">
      <c r="A14" s="54"/>
      <c r="B14" s="47" t="str">
        <f aca="false">Основна!A23</f>
        <v>Посада</v>
      </c>
      <c r="C14" s="56" t="str">
        <f aca="false">IF(Основна!B23 = 0, "",  Основна!B23)</f>
        <v/>
      </c>
      <c r="D14" s="56"/>
      <c r="G14" s="2"/>
      <c r="H14" s="2"/>
      <c r="I14" s="2"/>
      <c r="J14" s="2"/>
      <c r="K14" s="2"/>
      <c r="L14" s="2"/>
      <c r="M14" s="2"/>
      <c r="O14" s="58"/>
      <c r="P14" s="60" t="s">
        <v>74</v>
      </c>
      <c r="Q14" s="2" t="s">
        <v>142</v>
      </c>
      <c r="R14" s="2" t="s">
        <v>143</v>
      </c>
      <c r="S14" s="2" t="s">
        <v>144</v>
      </c>
      <c r="T14" s="2" t="s">
        <v>145</v>
      </c>
      <c r="U14" s="2" t="s">
        <v>146</v>
      </c>
      <c r="V14" s="2" t="s">
        <v>147</v>
      </c>
    </row>
    <row r="15" customFormat="false" ht="15" hidden="false" customHeight="true" outlineLevel="0" collapsed="false">
      <c r="A15" s="54"/>
      <c r="B15" s="47" t="str">
        <f aca="false">Основна!A24</f>
        <v>Номер наказу про призначення</v>
      </c>
      <c r="C15" s="56" t="str">
        <f aca="false">IF(Основна!B24 = 0, "",  Основна!B24)</f>
        <v/>
      </c>
      <c r="D15" s="56"/>
      <c r="G15" s="59" t="s">
        <v>73</v>
      </c>
      <c r="H15" s="59"/>
      <c r="I15" s="59"/>
      <c r="J15" s="59"/>
      <c r="K15" s="59"/>
      <c r="L15" s="2"/>
      <c r="M15" s="2"/>
      <c r="O15" s="58"/>
      <c r="P15" s="62" t="s">
        <v>148</v>
      </c>
      <c r="Q15" s="63" t="s">
        <v>149</v>
      </c>
      <c r="R15" s="63" t="s">
        <v>150</v>
      </c>
    </row>
    <row r="16" customFormat="false" ht="15" hidden="false" customHeight="false" outlineLevel="0" collapsed="false">
      <c r="A16" s="54"/>
      <c r="B16" s="47" t="str">
        <f aca="false">Основна!A25</f>
        <v>Дата наказу про призначення</v>
      </c>
      <c r="C16" s="56" t="str">
        <f aca="false">IF(Основна!B25 = 0, "",  Основна!B25)</f>
        <v/>
      </c>
      <c r="D16" s="56"/>
      <c r="G16" s="61" t="n">
        <f aca="true">OFFSET($D$87,(ROW()-ROW(G$16))*5+(COLUMN()-COLUMN($G16)),0)</f>
        <v>0</v>
      </c>
      <c r="H16" s="61" t="n">
        <f aca="true">OFFSET($D$87,(ROW()-ROW(H$16))*5+(COLUMN()-COLUMN($G16)),0)</f>
        <v>0</v>
      </c>
      <c r="I16" s="61" t="n">
        <f aca="true">OFFSET($D$87,(ROW()-ROW(I$16))*5+(COLUMN()-COLUMN($G16)),0)</f>
        <v>0</v>
      </c>
      <c r="J16" s="61" t="n">
        <f aca="true">OFFSET($D$87,(ROW()-ROW(J$16))*5+(COLUMN()-COLUMN($G16)),0)</f>
        <v>0</v>
      </c>
      <c r="K16" s="61" t="n">
        <f aca="true">OFFSET($D$87,(ROW()-ROW(K$16))*5+(COLUMN()-COLUMN($G16)),0)</f>
        <v>0</v>
      </c>
      <c r="L16" s="2"/>
      <c r="M16" s="2"/>
      <c r="O16" s="58"/>
      <c r="P16" s="62" t="s">
        <v>151</v>
      </c>
      <c r="Q16" s="63" t="s">
        <v>152</v>
      </c>
      <c r="R16" s="63" t="s">
        <v>153</v>
      </c>
    </row>
    <row r="17" customFormat="false" ht="15" hidden="false" customHeight="false" outlineLevel="0" collapsed="false">
      <c r="A17" s="54"/>
      <c r="B17" s="47" t="str">
        <f aca="false">Основна!A28</f>
        <v>Група обліку</v>
      </c>
      <c r="C17" s="56" t="str">
        <f aca="false">IF(Основна!B28 = 0, "",  Основна!B28)</f>
        <v/>
      </c>
      <c r="D17" s="56"/>
      <c r="G17" s="61" t="n">
        <f aca="true">OFFSET($D$87,(ROW()-ROW(G$16))*5+(COLUMN()-COLUMN($G17)),0)</f>
        <v>0</v>
      </c>
      <c r="H17" s="61" t="n">
        <f aca="true">OFFSET($D$87,(ROW()-ROW(H$16))*5+(COLUMN()-COLUMN($G17)),0)</f>
        <v>0</v>
      </c>
      <c r="I17" s="61" t="n">
        <f aca="true">OFFSET($D$87,(ROW()-ROW(I$16))*5+(COLUMN()-COLUMN($G17)),0)</f>
        <v>0</v>
      </c>
      <c r="J17" s="61" t="n">
        <f aca="true">OFFSET($D$87,(ROW()-ROW(J$16))*5+(COLUMN()-COLUMN($G17)),0)</f>
        <v>0</v>
      </c>
      <c r="K17" s="61" t="n">
        <f aca="true">OFFSET($D$87,(ROW()-ROW(K$16))*5+(COLUMN()-COLUMN($G17)),0)</f>
        <v>0</v>
      </c>
      <c r="L17" s="2"/>
      <c r="M17" s="2"/>
      <c r="O17" s="58" t="s">
        <v>154</v>
      </c>
      <c r="P17" s="9" t="s">
        <v>14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64"/>
      <c r="IP17" s="64"/>
      <c r="IQ17" s="64"/>
      <c r="IR17" s="64"/>
      <c r="IS17" s="64"/>
      <c r="IT17" s="64"/>
      <c r="IU17" s="64"/>
      <c r="IV17" s="64"/>
      <c r="IW17" s="64"/>
      <c r="IX17" s="64"/>
      <c r="IY17" s="64"/>
      <c r="IZ17" s="64"/>
      <c r="JA17" s="64"/>
      <c r="JB17" s="64"/>
      <c r="JC17" s="64"/>
      <c r="JD17" s="64"/>
      <c r="JE17" s="64"/>
      <c r="JF17" s="64"/>
      <c r="JG17" s="64"/>
      <c r="JH17" s="64"/>
      <c r="JI17" s="64"/>
      <c r="JJ17" s="64"/>
      <c r="JK17" s="64"/>
      <c r="JL17" s="64"/>
      <c r="JM17" s="64"/>
      <c r="JN17" s="64"/>
      <c r="JO17" s="64"/>
      <c r="JP17" s="64"/>
      <c r="JQ17" s="64"/>
      <c r="JR17" s="64"/>
      <c r="JS17" s="64"/>
      <c r="JT17" s="64"/>
      <c r="JU17" s="64"/>
      <c r="JV17" s="64"/>
      <c r="JW17" s="64"/>
      <c r="JX17" s="64"/>
      <c r="JY17" s="64"/>
      <c r="JZ17" s="64"/>
      <c r="KA17" s="64"/>
      <c r="KB17" s="64"/>
      <c r="KC17" s="64"/>
      <c r="KD17" s="64"/>
      <c r="KE17" s="64"/>
      <c r="KF17" s="64"/>
      <c r="KG17" s="64"/>
      <c r="KH17" s="64"/>
      <c r="KI17" s="64"/>
      <c r="KJ17" s="64"/>
      <c r="KK17" s="64"/>
      <c r="KL17" s="64"/>
      <c r="KM17" s="64"/>
      <c r="KN17" s="64"/>
      <c r="KO17" s="64"/>
      <c r="KP17" s="64"/>
      <c r="KQ17" s="64"/>
      <c r="KR17" s="64"/>
      <c r="KS17" s="64"/>
      <c r="KT17" s="64"/>
      <c r="KU17" s="64"/>
      <c r="KV17" s="64"/>
      <c r="KW17" s="64"/>
      <c r="KX17" s="64"/>
      <c r="KY17" s="64"/>
      <c r="KZ17" s="64"/>
      <c r="LA17" s="64"/>
      <c r="LB17" s="64"/>
      <c r="LC17" s="64"/>
      <c r="LD17" s="64"/>
      <c r="LE17" s="64"/>
      <c r="LF17" s="64"/>
      <c r="LG17" s="64"/>
      <c r="LH17" s="64"/>
      <c r="LI17" s="64"/>
      <c r="LJ17" s="64"/>
      <c r="LK17" s="64"/>
      <c r="LL17" s="64"/>
      <c r="LM17" s="64"/>
      <c r="LN17" s="64"/>
      <c r="LO17" s="64"/>
      <c r="LP17" s="64"/>
      <c r="LQ17" s="64"/>
      <c r="LR17" s="64"/>
      <c r="LS17" s="64"/>
      <c r="LT17" s="64"/>
      <c r="LU17" s="64"/>
      <c r="LV17" s="64"/>
      <c r="LW17" s="64"/>
      <c r="LX17" s="64"/>
      <c r="LY17" s="64"/>
      <c r="LZ17" s="64"/>
      <c r="MA17" s="64"/>
      <c r="MB17" s="64"/>
      <c r="MC17" s="64"/>
      <c r="MD17" s="64"/>
      <c r="ME17" s="64"/>
      <c r="MF17" s="64"/>
      <c r="MG17" s="64"/>
      <c r="MH17" s="64"/>
      <c r="MI17" s="64"/>
      <c r="MJ17" s="64"/>
      <c r="MK17" s="64"/>
      <c r="ML17" s="64"/>
      <c r="MM17" s="64"/>
      <c r="MN17" s="64"/>
      <c r="MO17" s="64"/>
      <c r="MP17" s="64"/>
      <c r="MQ17" s="64"/>
      <c r="MR17" s="64"/>
      <c r="MS17" s="64"/>
      <c r="MT17" s="64"/>
      <c r="MU17" s="64"/>
      <c r="MV17" s="64"/>
      <c r="MW17" s="64"/>
      <c r="MX17" s="64"/>
      <c r="MY17" s="64"/>
      <c r="MZ17" s="64"/>
      <c r="NA17" s="64"/>
      <c r="NB17" s="64"/>
      <c r="NC17" s="64"/>
      <c r="ND17" s="64"/>
      <c r="NE17" s="64"/>
      <c r="NF17" s="64"/>
      <c r="NG17" s="64"/>
      <c r="NH17" s="64"/>
      <c r="NI17" s="64"/>
      <c r="NJ17" s="64"/>
      <c r="NK17" s="64"/>
      <c r="NL17" s="64"/>
      <c r="NM17" s="64"/>
      <c r="NN17" s="64"/>
      <c r="NO17" s="64"/>
      <c r="NP17" s="64"/>
      <c r="NQ17" s="64"/>
      <c r="NR17" s="64"/>
      <c r="NS17" s="64"/>
      <c r="NT17" s="64"/>
      <c r="NU17" s="64"/>
      <c r="NV17" s="64"/>
      <c r="NW17" s="64"/>
      <c r="NX17" s="64"/>
      <c r="NY17" s="64"/>
      <c r="NZ17" s="64"/>
      <c r="OA17" s="64"/>
      <c r="OB17" s="64"/>
      <c r="OC17" s="64"/>
      <c r="OD17" s="64"/>
      <c r="OE17" s="64"/>
      <c r="OF17" s="64"/>
      <c r="OG17" s="64"/>
      <c r="OH17" s="64"/>
      <c r="OI17" s="64"/>
      <c r="OJ17" s="64"/>
      <c r="OK17" s="64"/>
      <c r="OL17" s="64"/>
      <c r="OM17" s="64"/>
      <c r="ON17" s="64"/>
      <c r="OO17" s="64"/>
      <c r="OP17" s="64"/>
      <c r="OQ17" s="64"/>
      <c r="OR17" s="64"/>
      <c r="OS17" s="64"/>
      <c r="OT17" s="64"/>
      <c r="OU17" s="64"/>
      <c r="OV17" s="64"/>
      <c r="OW17" s="64"/>
      <c r="OX17" s="64"/>
      <c r="OY17" s="64"/>
      <c r="OZ17" s="64"/>
      <c r="PA17" s="64"/>
      <c r="PB17" s="64"/>
      <c r="PC17" s="64"/>
      <c r="PD17" s="64"/>
      <c r="PE17" s="64"/>
      <c r="PF17" s="64"/>
      <c r="PG17" s="64"/>
      <c r="PH17" s="64"/>
      <c r="PI17" s="64"/>
      <c r="PJ17" s="64"/>
      <c r="PK17" s="64"/>
      <c r="PL17" s="64"/>
      <c r="PM17" s="64"/>
      <c r="PN17" s="64"/>
      <c r="PO17" s="64"/>
      <c r="PP17" s="64"/>
      <c r="PQ17" s="64"/>
      <c r="PR17" s="64"/>
      <c r="PS17" s="64"/>
      <c r="PT17" s="64"/>
      <c r="PU17" s="64"/>
      <c r="PV17" s="64"/>
      <c r="PW17" s="64"/>
      <c r="PX17" s="64"/>
      <c r="PY17" s="64"/>
      <c r="PZ17" s="64"/>
      <c r="QA17" s="64"/>
      <c r="QB17" s="64"/>
      <c r="QC17" s="64"/>
      <c r="QD17" s="64"/>
      <c r="QE17" s="64"/>
      <c r="QF17" s="64"/>
      <c r="QG17" s="64"/>
      <c r="QH17" s="64"/>
      <c r="QI17" s="64"/>
      <c r="QJ17" s="64"/>
      <c r="QK17" s="64"/>
      <c r="QL17" s="64"/>
      <c r="QM17" s="64"/>
      <c r="QN17" s="64"/>
      <c r="QO17" s="64"/>
      <c r="QP17" s="64"/>
      <c r="QQ17" s="64"/>
      <c r="QR17" s="64"/>
      <c r="QS17" s="64"/>
      <c r="QT17" s="64"/>
      <c r="QU17" s="64"/>
      <c r="QV17" s="64"/>
      <c r="QW17" s="64"/>
      <c r="QX17" s="64"/>
      <c r="QY17" s="64"/>
      <c r="QZ17" s="64"/>
      <c r="RA17" s="64"/>
      <c r="RB17" s="64"/>
      <c r="RC17" s="64"/>
      <c r="RD17" s="64"/>
      <c r="RE17" s="64"/>
      <c r="RF17" s="64"/>
      <c r="RG17" s="64"/>
      <c r="RH17" s="64"/>
      <c r="RI17" s="64"/>
      <c r="RJ17" s="64"/>
      <c r="RK17" s="64"/>
      <c r="RL17" s="64"/>
      <c r="RM17" s="64"/>
      <c r="RN17" s="64"/>
      <c r="RO17" s="64"/>
      <c r="RP17" s="64"/>
      <c r="RQ17" s="64"/>
      <c r="RR17" s="64"/>
      <c r="RS17" s="64"/>
      <c r="RT17" s="64"/>
      <c r="RU17" s="64"/>
      <c r="RV17" s="64"/>
      <c r="RW17" s="64"/>
      <c r="RX17" s="64"/>
      <c r="RY17" s="64"/>
      <c r="RZ17" s="64"/>
      <c r="SA17" s="64"/>
      <c r="SB17" s="64"/>
      <c r="SC17" s="64"/>
      <c r="SD17" s="64"/>
      <c r="SE17" s="64"/>
      <c r="SF17" s="64"/>
      <c r="SG17" s="64"/>
      <c r="SH17" s="64"/>
      <c r="SI17" s="64"/>
      <c r="SJ17" s="64"/>
      <c r="SK17" s="64"/>
      <c r="SL17" s="64"/>
      <c r="SM17" s="64"/>
      <c r="SN17" s="64"/>
      <c r="SO17" s="64"/>
      <c r="SP17" s="64"/>
      <c r="SQ17" s="64"/>
      <c r="SR17" s="64"/>
      <c r="SS17" s="64"/>
      <c r="ST17" s="64"/>
      <c r="SU17" s="64"/>
      <c r="SV17" s="64"/>
      <c r="SW17" s="64"/>
      <c r="SX17" s="64"/>
      <c r="SY17" s="64"/>
      <c r="SZ17" s="64"/>
      <c r="TA17" s="64"/>
      <c r="TB17" s="64"/>
      <c r="TC17" s="64"/>
      <c r="TD17" s="64"/>
      <c r="TE17" s="64"/>
      <c r="TF17" s="64"/>
      <c r="TG17" s="64"/>
      <c r="TH17" s="64"/>
      <c r="TI17" s="64"/>
      <c r="TJ17" s="64"/>
      <c r="TK17" s="64"/>
      <c r="TL17" s="64"/>
      <c r="TM17" s="64"/>
      <c r="TN17" s="64"/>
      <c r="TO17" s="64"/>
      <c r="TP17" s="64"/>
      <c r="TQ17" s="64"/>
      <c r="TR17" s="64"/>
      <c r="TS17" s="64"/>
      <c r="TT17" s="64"/>
      <c r="TU17" s="64"/>
      <c r="TV17" s="64"/>
      <c r="TW17" s="64"/>
      <c r="TX17" s="64"/>
      <c r="TY17" s="64"/>
      <c r="TZ17" s="64"/>
      <c r="UA17" s="64"/>
      <c r="UB17" s="64"/>
      <c r="UC17" s="64"/>
      <c r="UD17" s="64"/>
      <c r="UE17" s="64"/>
      <c r="UF17" s="64"/>
      <c r="UG17" s="64"/>
      <c r="UH17" s="64"/>
      <c r="UI17" s="64"/>
      <c r="UJ17" s="64"/>
      <c r="UK17" s="64"/>
      <c r="UL17" s="64"/>
      <c r="UM17" s="64"/>
      <c r="UN17" s="64"/>
      <c r="UO17" s="64"/>
      <c r="UP17" s="64"/>
      <c r="UQ17" s="64"/>
      <c r="UR17" s="64"/>
      <c r="US17" s="64"/>
      <c r="UT17" s="64"/>
      <c r="UU17" s="64"/>
      <c r="UV17" s="64"/>
      <c r="UW17" s="64"/>
      <c r="UX17" s="64"/>
      <c r="UY17" s="64"/>
      <c r="UZ17" s="64"/>
      <c r="VA17" s="64"/>
      <c r="VB17" s="64"/>
      <c r="VC17" s="64"/>
      <c r="VD17" s="64"/>
      <c r="VE17" s="64"/>
      <c r="VF17" s="64"/>
      <c r="VG17" s="64"/>
      <c r="VH17" s="64"/>
      <c r="VI17" s="64"/>
      <c r="VJ17" s="64"/>
      <c r="VK17" s="64"/>
      <c r="VL17" s="64"/>
      <c r="VM17" s="64"/>
      <c r="VN17" s="64"/>
      <c r="VO17" s="64"/>
      <c r="VP17" s="64"/>
      <c r="VQ17" s="64"/>
      <c r="VR17" s="64"/>
      <c r="VS17" s="64"/>
      <c r="VT17" s="64"/>
      <c r="VU17" s="64"/>
      <c r="VV17" s="64"/>
      <c r="VW17" s="64"/>
      <c r="VX17" s="64"/>
      <c r="VY17" s="64"/>
      <c r="VZ17" s="64"/>
      <c r="WA17" s="64"/>
      <c r="WB17" s="64"/>
      <c r="WC17" s="64"/>
      <c r="WD17" s="64"/>
      <c r="WE17" s="64"/>
      <c r="WF17" s="64"/>
      <c r="WG17" s="64"/>
      <c r="WH17" s="64"/>
      <c r="WI17" s="64"/>
      <c r="WJ17" s="64"/>
      <c r="WK17" s="64"/>
      <c r="WL17" s="64"/>
      <c r="WM17" s="64"/>
      <c r="WN17" s="64"/>
      <c r="WO17" s="64"/>
      <c r="WP17" s="64"/>
      <c r="WQ17" s="64"/>
      <c r="WR17" s="64"/>
      <c r="WS17" s="64"/>
      <c r="WT17" s="64"/>
      <c r="WU17" s="64"/>
      <c r="WV17" s="64"/>
      <c r="WW17" s="64"/>
      <c r="WX17" s="64"/>
      <c r="WY17" s="64"/>
      <c r="WZ17" s="64"/>
      <c r="XA17" s="64"/>
      <c r="XB17" s="64"/>
      <c r="XC17" s="64"/>
      <c r="XD17" s="64"/>
      <c r="XE17" s="64"/>
      <c r="XF17" s="64"/>
      <c r="XG17" s="64"/>
      <c r="XH17" s="64"/>
      <c r="XI17" s="64"/>
      <c r="XJ17" s="64"/>
      <c r="XK17" s="64"/>
      <c r="XL17" s="64"/>
      <c r="XM17" s="64"/>
      <c r="XN17" s="64"/>
      <c r="XO17" s="64"/>
      <c r="XP17" s="64"/>
      <c r="XQ17" s="64"/>
      <c r="XR17" s="64"/>
      <c r="XS17" s="64"/>
      <c r="XT17" s="64"/>
      <c r="XU17" s="64"/>
      <c r="XV17" s="64"/>
      <c r="XW17" s="64"/>
      <c r="XX17" s="64"/>
      <c r="XY17" s="64"/>
      <c r="XZ17" s="64"/>
      <c r="YA17" s="64"/>
      <c r="YB17" s="64"/>
      <c r="YC17" s="64"/>
      <c r="YD17" s="64"/>
      <c r="YE17" s="64"/>
      <c r="YF17" s="64"/>
      <c r="YG17" s="64"/>
      <c r="YH17" s="64"/>
      <c r="YI17" s="64"/>
      <c r="YJ17" s="64"/>
      <c r="YK17" s="64"/>
      <c r="YL17" s="64"/>
      <c r="YM17" s="64"/>
      <c r="YN17" s="64"/>
      <c r="YO17" s="64"/>
      <c r="YP17" s="64"/>
      <c r="YQ17" s="64"/>
      <c r="YR17" s="64"/>
      <c r="YS17" s="64"/>
      <c r="YT17" s="64"/>
      <c r="YU17" s="64"/>
      <c r="YV17" s="64"/>
      <c r="YW17" s="64"/>
      <c r="YX17" s="64"/>
      <c r="YY17" s="64"/>
      <c r="YZ17" s="64"/>
      <c r="ZA17" s="64"/>
    </row>
    <row r="18" customFormat="false" ht="15" hidden="false" customHeight="false" outlineLevel="0" collapsed="false">
      <c r="A18" s="54"/>
      <c r="B18" s="47" t="str">
        <f aca="false">Основна!A29</f>
        <v>Категорія обліку</v>
      </c>
      <c r="C18" s="56" t="str">
        <f aca="false">IF(Основна!B29 = 0, "",  Основна!B29)</f>
        <v/>
      </c>
      <c r="D18" s="56"/>
      <c r="G18" s="61" t="n">
        <f aca="true">OFFSET($D$87,(ROW()-ROW(G$16))*5+(COLUMN()-COLUMN($G18)),0)</f>
        <v>0</v>
      </c>
      <c r="H18" s="61" t="n">
        <f aca="true">OFFSET($D$87,(ROW()-ROW(H$16))*5+(COLUMN()-COLUMN($G18)),0)</f>
        <v>0</v>
      </c>
      <c r="I18" s="61" t="n">
        <f aca="true">OFFSET($D$87,(ROW()-ROW(I$16))*5+(COLUMN()-COLUMN($G18)),0)</f>
        <v>0</v>
      </c>
      <c r="J18" s="61" t="n">
        <f aca="true">OFFSET($D$87,(ROW()-ROW(J$16))*5+(COLUMN()-COLUMN($G18)),0)</f>
        <v>0</v>
      </c>
      <c r="K18" s="61" t="n">
        <f aca="true">OFFSET($D$87,(ROW()-ROW(K$16))*5+(COLUMN()-COLUMN($G18)),0)</f>
        <v>0</v>
      </c>
      <c r="L18" s="2"/>
      <c r="M18" s="2"/>
      <c r="O18" s="58"/>
      <c r="P18" s="9" t="s">
        <v>16</v>
      </c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64"/>
      <c r="HO18" s="64"/>
      <c r="HP18" s="64"/>
      <c r="HQ18" s="64"/>
      <c r="HR18" s="64"/>
      <c r="HS18" s="64"/>
      <c r="HT18" s="64"/>
      <c r="HU18" s="64"/>
      <c r="HV18" s="64"/>
      <c r="HW18" s="64"/>
      <c r="HX18" s="64"/>
      <c r="HY18" s="64"/>
      <c r="HZ18" s="64"/>
      <c r="IA18" s="64"/>
      <c r="IB18" s="64"/>
      <c r="IC18" s="64"/>
      <c r="ID18" s="64"/>
      <c r="IE18" s="64"/>
      <c r="IF18" s="64"/>
      <c r="IG18" s="64"/>
      <c r="IH18" s="64"/>
      <c r="II18" s="64"/>
      <c r="IJ18" s="64"/>
      <c r="IK18" s="64"/>
      <c r="IL18" s="64"/>
      <c r="IM18" s="64"/>
      <c r="IN18" s="64"/>
      <c r="IO18" s="64"/>
      <c r="IP18" s="64"/>
      <c r="IQ18" s="64"/>
      <c r="IR18" s="64"/>
      <c r="IS18" s="64"/>
      <c r="IT18" s="64"/>
      <c r="IU18" s="64"/>
      <c r="IV18" s="64"/>
      <c r="IW18" s="64"/>
      <c r="IX18" s="64"/>
      <c r="IY18" s="64"/>
      <c r="IZ18" s="64"/>
      <c r="JA18" s="64"/>
      <c r="JB18" s="64"/>
      <c r="JC18" s="64"/>
      <c r="JD18" s="64"/>
      <c r="JE18" s="64"/>
      <c r="JF18" s="64"/>
      <c r="JG18" s="64"/>
      <c r="JH18" s="64"/>
      <c r="JI18" s="64"/>
      <c r="JJ18" s="64"/>
      <c r="JK18" s="64"/>
      <c r="JL18" s="64"/>
      <c r="JM18" s="64"/>
      <c r="JN18" s="64"/>
      <c r="JO18" s="64"/>
      <c r="JP18" s="64"/>
      <c r="JQ18" s="64"/>
      <c r="JR18" s="64"/>
      <c r="JS18" s="64"/>
      <c r="JT18" s="64"/>
      <c r="JU18" s="64"/>
      <c r="JV18" s="64"/>
      <c r="JW18" s="64"/>
      <c r="JX18" s="64"/>
      <c r="JY18" s="64"/>
      <c r="JZ18" s="64"/>
      <c r="KA18" s="64"/>
      <c r="KB18" s="64"/>
      <c r="KC18" s="64"/>
      <c r="KD18" s="64"/>
      <c r="KE18" s="64"/>
      <c r="KF18" s="64"/>
      <c r="KG18" s="64"/>
      <c r="KH18" s="64"/>
      <c r="KI18" s="64"/>
      <c r="KJ18" s="64"/>
      <c r="KK18" s="64"/>
      <c r="KL18" s="64"/>
      <c r="KM18" s="64"/>
      <c r="KN18" s="64"/>
      <c r="KO18" s="64"/>
      <c r="KP18" s="64"/>
      <c r="KQ18" s="64"/>
      <c r="KR18" s="64"/>
      <c r="KS18" s="64"/>
      <c r="KT18" s="64"/>
      <c r="KU18" s="64"/>
      <c r="KV18" s="64"/>
      <c r="KW18" s="64"/>
      <c r="KX18" s="64"/>
      <c r="KY18" s="64"/>
      <c r="KZ18" s="64"/>
      <c r="LA18" s="64"/>
      <c r="LB18" s="64"/>
      <c r="LC18" s="64"/>
      <c r="LD18" s="64"/>
      <c r="LE18" s="64"/>
      <c r="LF18" s="64"/>
      <c r="LG18" s="64"/>
      <c r="LH18" s="64"/>
      <c r="LI18" s="64"/>
      <c r="LJ18" s="64"/>
      <c r="LK18" s="64"/>
      <c r="LL18" s="64"/>
      <c r="LM18" s="64"/>
      <c r="LN18" s="64"/>
      <c r="LO18" s="64"/>
      <c r="LP18" s="64"/>
      <c r="LQ18" s="64"/>
      <c r="LR18" s="64"/>
      <c r="LS18" s="64"/>
      <c r="LT18" s="64"/>
      <c r="LU18" s="64"/>
      <c r="LV18" s="64"/>
      <c r="LW18" s="64"/>
      <c r="LX18" s="64"/>
      <c r="LY18" s="64"/>
      <c r="LZ18" s="64"/>
      <c r="MA18" s="64"/>
      <c r="MB18" s="64"/>
      <c r="MC18" s="64"/>
      <c r="MD18" s="64"/>
      <c r="ME18" s="64"/>
      <c r="MF18" s="64"/>
      <c r="MG18" s="64"/>
      <c r="MH18" s="64"/>
      <c r="MI18" s="64"/>
      <c r="MJ18" s="64"/>
      <c r="MK18" s="64"/>
      <c r="ML18" s="64"/>
      <c r="MM18" s="64"/>
      <c r="MN18" s="64"/>
      <c r="MO18" s="64"/>
      <c r="MP18" s="64"/>
      <c r="MQ18" s="64"/>
      <c r="MR18" s="64"/>
      <c r="MS18" s="64"/>
      <c r="MT18" s="64"/>
      <c r="MU18" s="64"/>
      <c r="MV18" s="64"/>
      <c r="MW18" s="64"/>
      <c r="MX18" s="64"/>
      <c r="MY18" s="64"/>
      <c r="MZ18" s="64"/>
      <c r="NA18" s="64"/>
      <c r="NB18" s="64"/>
      <c r="NC18" s="64"/>
      <c r="ND18" s="64"/>
      <c r="NE18" s="64"/>
      <c r="NF18" s="64"/>
      <c r="NG18" s="64"/>
      <c r="NH18" s="64"/>
      <c r="NI18" s="64"/>
      <c r="NJ18" s="64"/>
      <c r="NK18" s="64"/>
      <c r="NL18" s="64"/>
      <c r="NM18" s="64"/>
      <c r="NN18" s="64"/>
      <c r="NO18" s="64"/>
      <c r="NP18" s="64"/>
      <c r="NQ18" s="64"/>
      <c r="NR18" s="64"/>
      <c r="NS18" s="64"/>
      <c r="NT18" s="64"/>
      <c r="NU18" s="64"/>
      <c r="NV18" s="64"/>
      <c r="NW18" s="64"/>
      <c r="NX18" s="64"/>
      <c r="NY18" s="64"/>
      <c r="NZ18" s="64"/>
      <c r="OA18" s="64"/>
      <c r="OB18" s="64"/>
      <c r="OC18" s="64"/>
      <c r="OD18" s="64"/>
      <c r="OE18" s="64"/>
      <c r="OF18" s="64"/>
      <c r="OG18" s="64"/>
      <c r="OH18" s="64"/>
      <c r="OI18" s="64"/>
      <c r="OJ18" s="64"/>
      <c r="OK18" s="64"/>
      <c r="OL18" s="64"/>
      <c r="OM18" s="64"/>
      <c r="ON18" s="64"/>
      <c r="OO18" s="64"/>
      <c r="OP18" s="64"/>
      <c r="OQ18" s="64"/>
      <c r="OR18" s="64"/>
      <c r="OS18" s="64"/>
      <c r="OT18" s="64"/>
      <c r="OU18" s="64"/>
      <c r="OV18" s="64"/>
      <c r="OW18" s="64"/>
      <c r="OX18" s="64"/>
      <c r="OY18" s="64"/>
      <c r="OZ18" s="64"/>
      <c r="PA18" s="64"/>
      <c r="PB18" s="64"/>
      <c r="PC18" s="64"/>
      <c r="PD18" s="64"/>
      <c r="PE18" s="64"/>
      <c r="PF18" s="64"/>
      <c r="PG18" s="64"/>
      <c r="PH18" s="64"/>
      <c r="PI18" s="64"/>
      <c r="PJ18" s="64"/>
      <c r="PK18" s="64"/>
      <c r="PL18" s="64"/>
      <c r="PM18" s="64"/>
      <c r="PN18" s="64"/>
      <c r="PO18" s="64"/>
      <c r="PP18" s="64"/>
      <c r="PQ18" s="64"/>
      <c r="PR18" s="64"/>
      <c r="PS18" s="64"/>
      <c r="PT18" s="64"/>
      <c r="PU18" s="64"/>
      <c r="PV18" s="64"/>
      <c r="PW18" s="64"/>
      <c r="PX18" s="64"/>
      <c r="PY18" s="64"/>
      <c r="PZ18" s="64"/>
      <c r="QA18" s="64"/>
      <c r="QB18" s="64"/>
      <c r="QC18" s="64"/>
      <c r="QD18" s="64"/>
      <c r="QE18" s="64"/>
      <c r="QF18" s="64"/>
      <c r="QG18" s="64"/>
      <c r="QH18" s="64"/>
      <c r="QI18" s="64"/>
      <c r="QJ18" s="64"/>
      <c r="QK18" s="64"/>
      <c r="QL18" s="64"/>
      <c r="QM18" s="64"/>
      <c r="QN18" s="64"/>
      <c r="QO18" s="64"/>
      <c r="QP18" s="64"/>
      <c r="QQ18" s="64"/>
      <c r="QR18" s="64"/>
      <c r="QS18" s="64"/>
      <c r="QT18" s="64"/>
      <c r="QU18" s="64"/>
      <c r="QV18" s="64"/>
      <c r="QW18" s="64"/>
      <c r="QX18" s="64"/>
      <c r="QY18" s="64"/>
      <c r="QZ18" s="64"/>
      <c r="RA18" s="64"/>
      <c r="RB18" s="64"/>
      <c r="RC18" s="64"/>
      <c r="RD18" s="64"/>
      <c r="RE18" s="64"/>
      <c r="RF18" s="64"/>
      <c r="RG18" s="64"/>
      <c r="RH18" s="64"/>
      <c r="RI18" s="64"/>
      <c r="RJ18" s="64"/>
      <c r="RK18" s="64"/>
      <c r="RL18" s="64"/>
      <c r="RM18" s="64"/>
      <c r="RN18" s="64"/>
      <c r="RO18" s="64"/>
      <c r="RP18" s="64"/>
      <c r="RQ18" s="64"/>
      <c r="RR18" s="64"/>
      <c r="RS18" s="64"/>
      <c r="RT18" s="64"/>
      <c r="RU18" s="64"/>
      <c r="RV18" s="64"/>
      <c r="RW18" s="64"/>
      <c r="RX18" s="64"/>
      <c r="RY18" s="64"/>
      <c r="RZ18" s="64"/>
      <c r="SA18" s="64"/>
      <c r="SB18" s="64"/>
      <c r="SC18" s="64"/>
      <c r="SD18" s="64"/>
      <c r="SE18" s="64"/>
      <c r="SF18" s="64"/>
      <c r="SG18" s="64"/>
      <c r="SH18" s="64"/>
      <c r="SI18" s="64"/>
      <c r="SJ18" s="64"/>
      <c r="SK18" s="64"/>
      <c r="SL18" s="64"/>
      <c r="SM18" s="64"/>
      <c r="SN18" s="64"/>
      <c r="SO18" s="64"/>
      <c r="SP18" s="64"/>
      <c r="SQ18" s="64"/>
      <c r="SR18" s="64"/>
      <c r="SS18" s="64"/>
      <c r="ST18" s="64"/>
      <c r="SU18" s="64"/>
      <c r="SV18" s="64"/>
      <c r="SW18" s="64"/>
      <c r="SX18" s="64"/>
      <c r="SY18" s="64"/>
      <c r="SZ18" s="64"/>
      <c r="TA18" s="64"/>
      <c r="TB18" s="64"/>
      <c r="TC18" s="64"/>
      <c r="TD18" s="64"/>
      <c r="TE18" s="64"/>
      <c r="TF18" s="64"/>
      <c r="TG18" s="64"/>
      <c r="TH18" s="64"/>
      <c r="TI18" s="64"/>
      <c r="TJ18" s="64"/>
      <c r="TK18" s="64"/>
      <c r="TL18" s="64"/>
      <c r="TM18" s="64"/>
      <c r="TN18" s="64"/>
      <c r="TO18" s="64"/>
      <c r="TP18" s="64"/>
      <c r="TQ18" s="64"/>
      <c r="TR18" s="64"/>
      <c r="TS18" s="64"/>
      <c r="TT18" s="64"/>
      <c r="TU18" s="64"/>
      <c r="TV18" s="64"/>
      <c r="TW18" s="64"/>
      <c r="TX18" s="64"/>
      <c r="TY18" s="64"/>
      <c r="TZ18" s="64"/>
      <c r="UA18" s="64"/>
      <c r="UB18" s="64"/>
      <c r="UC18" s="64"/>
      <c r="UD18" s="64"/>
      <c r="UE18" s="64"/>
      <c r="UF18" s="64"/>
      <c r="UG18" s="64"/>
      <c r="UH18" s="64"/>
      <c r="UI18" s="64"/>
      <c r="UJ18" s="64"/>
      <c r="UK18" s="64"/>
      <c r="UL18" s="64"/>
      <c r="UM18" s="64"/>
      <c r="UN18" s="64"/>
      <c r="UO18" s="64"/>
      <c r="UP18" s="64"/>
      <c r="UQ18" s="64"/>
      <c r="UR18" s="64"/>
      <c r="US18" s="64"/>
      <c r="UT18" s="64"/>
      <c r="UU18" s="64"/>
      <c r="UV18" s="64"/>
      <c r="UW18" s="64"/>
      <c r="UX18" s="64"/>
      <c r="UY18" s="64"/>
      <c r="UZ18" s="64"/>
      <c r="VA18" s="64"/>
      <c r="VB18" s="64"/>
      <c r="VC18" s="64"/>
      <c r="VD18" s="64"/>
      <c r="VE18" s="64"/>
      <c r="VF18" s="64"/>
      <c r="VG18" s="64"/>
      <c r="VH18" s="64"/>
      <c r="VI18" s="64"/>
      <c r="VJ18" s="64"/>
      <c r="VK18" s="64"/>
      <c r="VL18" s="64"/>
      <c r="VM18" s="64"/>
      <c r="VN18" s="64"/>
      <c r="VO18" s="64"/>
      <c r="VP18" s="64"/>
      <c r="VQ18" s="64"/>
      <c r="VR18" s="64"/>
      <c r="VS18" s="64"/>
      <c r="VT18" s="64"/>
      <c r="VU18" s="64"/>
      <c r="VV18" s="64"/>
      <c r="VW18" s="64"/>
      <c r="VX18" s="64"/>
      <c r="VY18" s="64"/>
      <c r="VZ18" s="64"/>
      <c r="WA18" s="64"/>
      <c r="WB18" s="64"/>
      <c r="WC18" s="64"/>
      <c r="WD18" s="64"/>
      <c r="WE18" s="64"/>
      <c r="WF18" s="64"/>
      <c r="WG18" s="64"/>
      <c r="WH18" s="64"/>
      <c r="WI18" s="64"/>
      <c r="WJ18" s="64"/>
      <c r="WK18" s="64"/>
      <c r="WL18" s="64"/>
      <c r="WM18" s="64"/>
      <c r="WN18" s="64"/>
      <c r="WO18" s="64"/>
      <c r="WP18" s="64"/>
      <c r="WQ18" s="64"/>
      <c r="WR18" s="64"/>
      <c r="WS18" s="64"/>
      <c r="WT18" s="64"/>
      <c r="WU18" s="64"/>
      <c r="WV18" s="64"/>
      <c r="WW18" s="64"/>
      <c r="WX18" s="64"/>
      <c r="WY18" s="64"/>
      <c r="WZ18" s="64"/>
      <c r="XA18" s="64"/>
      <c r="XB18" s="64"/>
      <c r="XC18" s="64"/>
      <c r="XD18" s="64"/>
      <c r="XE18" s="64"/>
      <c r="XF18" s="64"/>
      <c r="XG18" s="64"/>
      <c r="XH18" s="64"/>
      <c r="XI18" s="64"/>
      <c r="XJ18" s="64"/>
      <c r="XK18" s="64"/>
      <c r="XL18" s="64"/>
      <c r="XM18" s="64"/>
      <c r="XN18" s="64"/>
      <c r="XO18" s="64"/>
      <c r="XP18" s="64"/>
      <c r="XQ18" s="64"/>
      <c r="XR18" s="64"/>
      <c r="XS18" s="64"/>
      <c r="XT18" s="64"/>
      <c r="XU18" s="64"/>
      <c r="XV18" s="64"/>
      <c r="XW18" s="64"/>
      <c r="XX18" s="64"/>
      <c r="XY18" s="64"/>
      <c r="XZ18" s="64"/>
      <c r="YA18" s="64"/>
      <c r="YB18" s="64"/>
      <c r="YC18" s="64"/>
      <c r="YD18" s="64"/>
      <c r="YE18" s="64"/>
      <c r="YF18" s="64"/>
      <c r="YG18" s="64"/>
      <c r="YH18" s="64"/>
      <c r="YI18" s="64"/>
      <c r="YJ18" s="64"/>
      <c r="YK18" s="64"/>
      <c r="YL18" s="64"/>
      <c r="YM18" s="64"/>
      <c r="YN18" s="64"/>
      <c r="YO18" s="64"/>
      <c r="YP18" s="64"/>
      <c r="YQ18" s="64"/>
      <c r="YR18" s="64"/>
      <c r="YS18" s="64"/>
      <c r="YT18" s="64"/>
      <c r="YU18" s="64"/>
      <c r="YV18" s="64"/>
      <c r="YW18" s="64"/>
      <c r="YX18" s="64"/>
      <c r="YY18" s="64"/>
      <c r="YZ18" s="64"/>
      <c r="ZA18" s="64"/>
    </row>
    <row r="19" customFormat="false" ht="15" hidden="false" customHeight="false" outlineLevel="0" collapsed="false">
      <c r="A19" s="54"/>
      <c r="B19" s="47" t="str">
        <f aca="false">Основна!A30</f>
        <v>Склад</v>
      </c>
      <c r="C19" s="56" t="str">
        <f aca="false">IF(Основна!B30 = 0, "",  Основна!B30)</f>
        <v/>
      </c>
      <c r="D19" s="56"/>
      <c r="G19" s="61" t="n">
        <f aca="true">OFFSET($D$87,(ROW()-ROW(G$16))*5+(COLUMN()-COLUMN($G19)),0)</f>
        <v>0</v>
      </c>
      <c r="H19" s="61" t="n">
        <f aca="true">OFFSET($D$87,(ROW()-ROW(H$16))*5+(COLUMN()-COLUMN($G19)),0)</f>
        <v>0</v>
      </c>
      <c r="I19" s="61" t="n">
        <f aca="true">OFFSET($D$87,(ROW()-ROW(I$16))*5+(COLUMN()-COLUMN($G19)),0)</f>
        <v>0</v>
      </c>
      <c r="J19" s="61" t="n">
        <f aca="true">OFFSET($D$87,(ROW()-ROW(J$16))*5+(COLUMN()-COLUMN($G19)),0)</f>
        <v>0</v>
      </c>
      <c r="K19" s="61" t="n">
        <f aca="true">OFFSET($D$87,(ROW()-ROW(K$16))*5+(COLUMN()-COLUMN($G19)),0)</f>
        <v>0</v>
      </c>
      <c r="L19" s="2"/>
      <c r="M19" s="2"/>
      <c r="O19" s="58"/>
      <c r="P19" s="9" t="s">
        <v>20</v>
      </c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64"/>
      <c r="HO19" s="64"/>
      <c r="HP19" s="64"/>
      <c r="HQ19" s="64"/>
      <c r="HR19" s="64"/>
      <c r="HS19" s="64"/>
      <c r="HT19" s="64"/>
      <c r="HU19" s="64"/>
      <c r="HV19" s="64"/>
      <c r="HW19" s="64"/>
      <c r="HX19" s="64"/>
      <c r="HY19" s="64"/>
      <c r="HZ19" s="64"/>
      <c r="IA19" s="64"/>
      <c r="IB19" s="64"/>
      <c r="IC19" s="64"/>
      <c r="ID19" s="64"/>
      <c r="IE19" s="64"/>
      <c r="IF19" s="64"/>
      <c r="IG19" s="64"/>
      <c r="IH19" s="64"/>
      <c r="II19" s="64"/>
      <c r="IJ19" s="64"/>
      <c r="IK19" s="64"/>
      <c r="IL19" s="64"/>
      <c r="IM19" s="64"/>
      <c r="IN19" s="64"/>
      <c r="IO19" s="64"/>
      <c r="IP19" s="64"/>
      <c r="IQ19" s="64"/>
      <c r="IR19" s="64"/>
      <c r="IS19" s="64"/>
      <c r="IT19" s="64"/>
      <c r="IU19" s="64"/>
      <c r="IV19" s="64"/>
      <c r="IW19" s="64"/>
      <c r="IX19" s="64"/>
      <c r="IY19" s="64"/>
      <c r="IZ19" s="64"/>
      <c r="JA19" s="64"/>
      <c r="JB19" s="64"/>
      <c r="JC19" s="64"/>
      <c r="JD19" s="64"/>
      <c r="JE19" s="64"/>
      <c r="JF19" s="64"/>
      <c r="JG19" s="64"/>
      <c r="JH19" s="64"/>
      <c r="JI19" s="64"/>
      <c r="JJ19" s="64"/>
      <c r="JK19" s="64"/>
      <c r="JL19" s="64"/>
      <c r="JM19" s="64"/>
      <c r="JN19" s="64"/>
      <c r="JO19" s="64"/>
      <c r="JP19" s="64"/>
      <c r="JQ19" s="64"/>
      <c r="JR19" s="64"/>
      <c r="JS19" s="64"/>
      <c r="JT19" s="64"/>
      <c r="JU19" s="64"/>
      <c r="JV19" s="64"/>
      <c r="JW19" s="64"/>
      <c r="JX19" s="64"/>
      <c r="JY19" s="64"/>
      <c r="JZ19" s="64"/>
      <c r="KA19" s="64"/>
      <c r="KB19" s="64"/>
      <c r="KC19" s="64"/>
      <c r="KD19" s="64"/>
      <c r="KE19" s="64"/>
      <c r="KF19" s="64"/>
      <c r="KG19" s="64"/>
      <c r="KH19" s="64"/>
      <c r="KI19" s="64"/>
      <c r="KJ19" s="64"/>
      <c r="KK19" s="64"/>
      <c r="KL19" s="64"/>
      <c r="KM19" s="64"/>
      <c r="KN19" s="64"/>
      <c r="KO19" s="64"/>
      <c r="KP19" s="64"/>
      <c r="KQ19" s="64"/>
      <c r="KR19" s="64"/>
      <c r="KS19" s="64"/>
      <c r="KT19" s="64"/>
      <c r="KU19" s="64"/>
      <c r="KV19" s="64"/>
      <c r="KW19" s="64"/>
      <c r="KX19" s="64"/>
      <c r="KY19" s="64"/>
      <c r="KZ19" s="64"/>
      <c r="LA19" s="64"/>
      <c r="LB19" s="64"/>
      <c r="LC19" s="64"/>
      <c r="LD19" s="64"/>
      <c r="LE19" s="64"/>
      <c r="LF19" s="64"/>
      <c r="LG19" s="64"/>
      <c r="LH19" s="64"/>
      <c r="LI19" s="64"/>
      <c r="LJ19" s="64"/>
      <c r="LK19" s="64"/>
      <c r="LL19" s="64"/>
      <c r="LM19" s="64"/>
      <c r="LN19" s="64"/>
      <c r="LO19" s="64"/>
      <c r="LP19" s="64"/>
      <c r="LQ19" s="64"/>
      <c r="LR19" s="64"/>
      <c r="LS19" s="64"/>
      <c r="LT19" s="64"/>
      <c r="LU19" s="64"/>
      <c r="LV19" s="64"/>
      <c r="LW19" s="64"/>
      <c r="LX19" s="64"/>
      <c r="LY19" s="64"/>
      <c r="LZ19" s="64"/>
      <c r="MA19" s="64"/>
      <c r="MB19" s="64"/>
      <c r="MC19" s="64"/>
      <c r="MD19" s="64"/>
      <c r="ME19" s="64"/>
      <c r="MF19" s="64"/>
      <c r="MG19" s="64"/>
      <c r="MH19" s="64"/>
      <c r="MI19" s="64"/>
      <c r="MJ19" s="64"/>
      <c r="MK19" s="64"/>
      <c r="ML19" s="64"/>
      <c r="MM19" s="64"/>
      <c r="MN19" s="64"/>
      <c r="MO19" s="64"/>
      <c r="MP19" s="64"/>
      <c r="MQ19" s="64"/>
      <c r="MR19" s="64"/>
      <c r="MS19" s="64"/>
      <c r="MT19" s="64"/>
      <c r="MU19" s="64"/>
      <c r="MV19" s="64"/>
      <c r="MW19" s="64"/>
      <c r="MX19" s="64"/>
      <c r="MY19" s="64"/>
      <c r="MZ19" s="64"/>
      <c r="NA19" s="64"/>
      <c r="NB19" s="64"/>
      <c r="NC19" s="64"/>
      <c r="ND19" s="64"/>
      <c r="NE19" s="64"/>
      <c r="NF19" s="64"/>
      <c r="NG19" s="64"/>
      <c r="NH19" s="64"/>
      <c r="NI19" s="64"/>
      <c r="NJ19" s="64"/>
      <c r="NK19" s="64"/>
      <c r="NL19" s="64"/>
      <c r="NM19" s="64"/>
      <c r="NN19" s="64"/>
      <c r="NO19" s="64"/>
      <c r="NP19" s="64"/>
      <c r="NQ19" s="64"/>
      <c r="NR19" s="64"/>
      <c r="NS19" s="64"/>
      <c r="NT19" s="64"/>
      <c r="NU19" s="64"/>
      <c r="NV19" s="64"/>
      <c r="NW19" s="64"/>
      <c r="NX19" s="64"/>
      <c r="NY19" s="64"/>
      <c r="NZ19" s="64"/>
      <c r="OA19" s="64"/>
      <c r="OB19" s="64"/>
      <c r="OC19" s="64"/>
      <c r="OD19" s="64"/>
      <c r="OE19" s="64"/>
      <c r="OF19" s="64"/>
      <c r="OG19" s="64"/>
      <c r="OH19" s="64"/>
      <c r="OI19" s="64"/>
      <c r="OJ19" s="64"/>
      <c r="OK19" s="64"/>
      <c r="OL19" s="64"/>
      <c r="OM19" s="64"/>
      <c r="ON19" s="64"/>
      <c r="OO19" s="64"/>
      <c r="OP19" s="64"/>
      <c r="OQ19" s="64"/>
      <c r="OR19" s="64"/>
      <c r="OS19" s="64"/>
      <c r="OT19" s="64"/>
      <c r="OU19" s="64"/>
      <c r="OV19" s="64"/>
      <c r="OW19" s="64"/>
      <c r="OX19" s="64"/>
      <c r="OY19" s="64"/>
      <c r="OZ19" s="64"/>
      <c r="PA19" s="64"/>
      <c r="PB19" s="64"/>
      <c r="PC19" s="64"/>
      <c r="PD19" s="64"/>
      <c r="PE19" s="64"/>
      <c r="PF19" s="64"/>
      <c r="PG19" s="64"/>
      <c r="PH19" s="64"/>
      <c r="PI19" s="64"/>
      <c r="PJ19" s="64"/>
      <c r="PK19" s="64"/>
      <c r="PL19" s="64"/>
      <c r="PM19" s="64"/>
      <c r="PN19" s="64"/>
      <c r="PO19" s="64"/>
      <c r="PP19" s="64"/>
      <c r="PQ19" s="64"/>
      <c r="PR19" s="64"/>
      <c r="PS19" s="64"/>
      <c r="PT19" s="64"/>
      <c r="PU19" s="64"/>
      <c r="PV19" s="64"/>
      <c r="PW19" s="64"/>
      <c r="PX19" s="64"/>
      <c r="PY19" s="64"/>
      <c r="PZ19" s="64"/>
      <c r="QA19" s="64"/>
      <c r="QB19" s="64"/>
      <c r="QC19" s="64"/>
      <c r="QD19" s="64"/>
      <c r="QE19" s="64"/>
      <c r="QF19" s="64"/>
      <c r="QG19" s="64"/>
      <c r="QH19" s="64"/>
      <c r="QI19" s="64"/>
      <c r="QJ19" s="64"/>
      <c r="QK19" s="64"/>
      <c r="QL19" s="64"/>
      <c r="QM19" s="64"/>
      <c r="QN19" s="64"/>
      <c r="QO19" s="64"/>
      <c r="QP19" s="64"/>
      <c r="QQ19" s="64"/>
      <c r="QR19" s="64"/>
      <c r="QS19" s="64"/>
      <c r="QT19" s="64"/>
      <c r="QU19" s="64"/>
      <c r="QV19" s="64"/>
      <c r="QW19" s="64"/>
      <c r="QX19" s="64"/>
      <c r="QY19" s="64"/>
      <c r="QZ19" s="64"/>
      <c r="RA19" s="64"/>
      <c r="RB19" s="64"/>
      <c r="RC19" s="64"/>
      <c r="RD19" s="64"/>
      <c r="RE19" s="64"/>
      <c r="RF19" s="64"/>
      <c r="RG19" s="64"/>
      <c r="RH19" s="64"/>
      <c r="RI19" s="64"/>
      <c r="RJ19" s="64"/>
      <c r="RK19" s="64"/>
      <c r="RL19" s="64"/>
      <c r="RM19" s="64"/>
      <c r="RN19" s="64"/>
      <c r="RO19" s="64"/>
      <c r="RP19" s="64"/>
      <c r="RQ19" s="64"/>
      <c r="RR19" s="64"/>
      <c r="RS19" s="64"/>
      <c r="RT19" s="64"/>
      <c r="RU19" s="64"/>
      <c r="RV19" s="64"/>
      <c r="RW19" s="64"/>
      <c r="RX19" s="64"/>
      <c r="RY19" s="64"/>
      <c r="RZ19" s="64"/>
      <c r="SA19" s="64"/>
      <c r="SB19" s="64"/>
      <c r="SC19" s="64"/>
      <c r="SD19" s="64"/>
      <c r="SE19" s="64"/>
      <c r="SF19" s="64"/>
      <c r="SG19" s="64"/>
      <c r="SH19" s="64"/>
      <c r="SI19" s="64"/>
      <c r="SJ19" s="64"/>
      <c r="SK19" s="64"/>
      <c r="SL19" s="64"/>
      <c r="SM19" s="64"/>
      <c r="SN19" s="64"/>
      <c r="SO19" s="64"/>
      <c r="SP19" s="64"/>
      <c r="SQ19" s="64"/>
      <c r="SR19" s="64"/>
      <c r="SS19" s="64"/>
      <c r="ST19" s="64"/>
      <c r="SU19" s="64"/>
      <c r="SV19" s="64"/>
      <c r="SW19" s="64"/>
      <c r="SX19" s="64"/>
      <c r="SY19" s="64"/>
      <c r="SZ19" s="64"/>
      <c r="TA19" s="64"/>
      <c r="TB19" s="64"/>
      <c r="TC19" s="64"/>
      <c r="TD19" s="64"/>
      <c r="TE19" s="64"/>
      <c r="TF19" s="64"/>
      <c r="TG19" s="64"/>
      <c r="TH19" s="64"/>
      <c r="TI19" s="64"/>
      <c r="TJ19" s="64"/>
      <c r="TK19" s="64"/>
      <c r="TL19" s="64"/>
      <c r="TM19" s="64"/>
      <c r="TN19" s="64"/>
      <c r="TO19" s="64"/>
      <c r="TP19" s="64"/>
      <c r="TQ19" s="64"/>
      <c r="TR19" s="64"/>
      <c r="TS19" s="64"/>
      <c r="TT19" s="64"/>
      <c r="TU19" s="64"/>
      <c r="TV19" s="64"/>
      <c r="TW19" s="64"/>
      <c r="TX19" s="64"/>
      <c r="TY19" s="64"/>
      <c r="TZ19" s="64"/>
      <c r="UA19" s="64"/>
      <c r="UB19" s="64"/>
      <c r="UC19" s="64"/>
      <c r="UD19" s="64"/>
      <c r="UE19" s="64"/>
      <c r="UF19" s="64"/>
      <c r="UG19" s="64"/>
      <c r="UH19" s="64"/>
      <c r="UI19" s="64"/>
      <c r="UJ19" s="64"/>
      <c r="UK19" s="64"/>
      <c r="UL19" s="64"/>
      <c r="UM19" s="64"/>
      <c r="UN19" s="64"/>
      <c r="UO19" s="64"/>
      <c r="UP19" s="64"/>
      <c r="UQ19" s="64"/>
      <c r="UR19" s="64"/>
      <c r="US19" s="64"/>
      <c r="UT19" s="64"/>
      <c r="UU19" s="64"/>
      <c r="UV19" s="64"/>
      <c r="UW19" s="64"/>
      <c r="UX19" s="64"/>
      <c r="UY19" s="64"/>
      <c r="UZ19" s="64"/>
      <c r="VA19" s="64"/>
      <c r="VB19" s="64"/>
      <c r="VC19" s="64"/>
      <c r="VD19" s="64"/>
      <c r="VE19" s="64"/>
      <c r="VF19" s="64"/>
      <c r="VG19" s="64"/>
      <c r="VH19" s="64"/>
      <c r="VI19" s="64"/>
      <c r="VJ19" s="64"/>
      <c r="VK19" s="64"/>
      <c r="VL19" s="64"/>
      <c r="VM19" s="64"/>
      <c r="VN19" s="64"/>
      <c r="VO19" s="64"/>
      <c r="VP19" s="64"/>
      <c r="VQ19" s="64"/>
      <c r="VR19" s="64"/>
      <c r="VS19" s="64"/>
      <c r="VT19" s="64"/>
      <c r="VU19" s="64"/>
      <c r="VV19" s="64"/>
      <c r="VW19" s="64"/>
      <c r="VX19" s="64"/>
      <c r="VY19" s="64"/>
      <c r="VZ19" s="64"/>
      <c r="WA19" s="64"/>
      <c r="WB19" s="64"/>
      <c r="WC19" s="64"/>
      <c r="WD19" s="64"/>
      <c r="WE19" s="64"/>
      <c r="WF19" s="64"/>
      <c r="WG19" s="64"/>
      <c r="WH19" s="64"/>
      <c r="WI19" s="64"/>
      <c r="WJ19" s="64"/>
      <c r="WK19" s="64"/>
      <c r="WL19" s="64"/>
      <c r="WM19" s="64"/>
      <c r="WN19" s="64"/>
      <c r="WO19" s="64"/>
      <c r="WP19" s="64"/>
      <c r="WQ19" s="64"/>
      <c r="WR19" s="64"/>
      <c r="WS19" s="64"/>
      <c r="WT19" s="64"/>
      <c r="WU19" s="64"/>
      <c r="WV19" s="64"/>
      <c r="WW19" s="64"/>
      <c r="WX19" s="64"/>
      <c r="WY19" s="64"/>
      <c r="WZ19" s="64"/>
      <c r="XA19" s="64"/>
      <c r="XB19" s="64"/>
      <c r="XC19" s="64"/>
      <c r="XD19" s="64"/>
      <c r="XE19" s="64"/>
      <c r="XF19" s="64"/>
      <c r="XG19" s="64"/>
      <c r="XH19" s="64"/>
      <c r="XI19" s="64"/>
      <c r="XJ19" s="64"/>
      <c r="XK19" s="64"/>
      <c r="XL19" s="64"/>
      <c r="XM19" s="64"/>
      <c r="XN19" s="64"/>
      <c r="XO19" s="64"/>
      <c r="XP19" s="64"/>
      <c r="XQ19" s="64"/>
      <c r="XR19" s="64"/>
      <c r="XS19" s="64"/>
      <c r="XT19" s="64"/>
      <c r="XU19" s="64"/>
      <c r="XV19" s="64"/>
      <c r="XW19" s="64"/>
      <c r="XX19" s="64"/>
      <c r="XY19" s="64"/>
      <c r="XZ19" s="64"/>
      <c r="YA19" s="64"/>
      <c r="YB19" s="64"/>
      <c r="YC19" s="64"/>
      <c r="YD19" s="64"/>
      <c r="YE19" s="64"/>
      <c r="YF19" s="64"/>
      <c r="YG19" s="64"/>
      <c r="YH19" s="64"/>
      <c r="YI19" s="64"/>
      <c r="YJ19" s="64"/>
      <c r="YK19" s="64"/>
      <c r="YL19" s="64"/>
      <c r="YM19" s="64"/>
      <c r="YN19" s="64"/>
      <c r="YO19" s="64"/>
      <c r="YP19" s="64"/>
      <c r="YQ19" s="64"/>
      <c r="YR19" s="64"/>
      <c r="YS19" s="64"/>
      <c r="YT19" s="64"/>
      <c r="YU19" s="64"/>
      <c r="YV19" s="64"/>
      <c r="YW19" s="64"/>
      <c r="YX19" s="64"/>
      <c r="YY19" s="64"/>
      <c r="YZ19" s="64"/>
      <c r="ZA19" s="64"/>
    </row>
    <row r="20" customFormat="false" ht="15" hidden="false" customHeight="false" outlineLevel="0" collapsed="false">
      <c r="A20" s="54"/>
      <c r="B20" s="47" t="str">
        <f aca="false">Основна!A31</f>
        <v>Військове звання</v>
      </c>
      <c r="C20" s="56" t="str">
        <f aca="false">IF(Основна!B31 = 0, "",  Основна!B31)</f>
        <v/>
      </c>
      <c r="D20" s="56"/>
      <c r="G20" s="61" t="n">
        <f aca="true">OFFSET($D$87,(ROW()-ROW(G$16))*5+(COLUMN()-COLUMN($G20)),0)</f>
        <v>0</v>
      </c>
      <c r="H20" s="61" t="n">
        <f aca="true">OFFSET($D$87,(ROW()-ROW(H$16))*5+(COLUMN()-COLUMN($G20)),0)</f>
        <v>0</v>
      </c>
      <c r="I20" s="61" t="n">
        <f aca="true">OFFSET($D$87,(ROW()-ROW(I$16))*5+(COLUMN()-COLUMN($G20)),0)</f>
        <v>0</v>
      </c>
      <c r="J20" s="61" t="n">
        <f aca="true">OFFSET($D$87,(ROW()-ROW(J$16))*5+(COLUMN()-COLUMN($G20)),0)</f>
        <v>0</v>
      </c>
      <c r="K20" s="61" t="n">
        <f aca="true">OFFSET($D$87,(ROW()-ROW(K$16))*5+(COLUMN()-COLUMN($G20)),0)</f>
        <v>0</v>
      </c>
      <c r="L20" s="2"/>
      <c r="M20" s="2"/>
      <c r="O20" s="58"/>
      <c r="P20" s="9" t="s">
        <v>22</v>
      </c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/>
      <c r="IE20" s="64"/>
      <c r="IF20" s="64"/>
      <c r="IG20" s="64"/>
      <c r="IH20" s="64"/>
      <c r="II20" s="64"/>
      <c r="IJ20" s="64"/>
      <c r="IK20" s="64"/>
      <c r="IL20" s="64"/>
      <c r="IM20" s="64"/>
      <c r="IN20" s="64"/>
      <c r="IO20" s="64"/>
      <c r="IP20" s="64"/>
      <c r="IQ20" s="64"/>
      <c r="IR20" s="64"/>
      <c r="IS20" s="64"/>
      <c r="IT20" s="64"/>
      <c r="IU20" s="64"/>
      <c r="IV20" s="64"/>
      <c r="IW20" s="64"/>
      <c r="IX20" s="64"/>
      <c r="IY20" s="64"/>
      <c r="IZ20" s="64"/>
      <c r="JA20" s="64"/>
      <c r="JB20" s="64"/>
      <c r="JC20" s="64"/>
      <c r="JD20" s="64"/>
      <c r="JE20" s="64"/>
      <c r="JF20" s="64"/>
      <c r="JG20" s="64"/>
      <c r="JH20" s="64"/>
      <c r="JI20" s="64"/>
      <c r="JJ20" s="64"/>
      <c r="JK20" s="64"/>
      <c r="JL20" s="64"/>
      <c r="JM20" s="64"/>
      <c r="JN20" s="64"/>
      <c r="JO20" s="64"/>
      <c r="JP20" s="64"/>
      <c r="JQ20" s="64"/>
      <c r="JR20" s="64"/>
      <c r="JS20" s="64"/>
      <c r="JT20" s="64"/>
      <c r="JU20" s="64"/>
      <c r="JV20" s="64"/>
      <c r="JW20" s="64"/>
      <c r="JX20" s="64"/>
      <c r="JY20" s="64"/>
      <c r="JZ20" s="64"/>
      <c r="KA20" s="64"/>
      <c r="KB20" s="64"/>
      <c r="KC20" s="64"/>
      <c r="KD20" s="64"/>
      <c r="KE20" s="64"/>
      <c r="KF20" s="64"/>
      <c r="KG20" s="64"/>
      <c r="KH20" s="64"/>
      <c r="KI20" s="64"/>
      <c r="KJ20" s="64"/>
      <c r="KK20" s="64"/>
      <c r="KL20" s="64"/>
      <c r="KM20" s="64"/>
      <c r="KN20" s="64"/>
      <c r="KO20" s="64"/>
      <c r="KP20" s="64"/>
      <c r="KQ20" s="64"/>
      <c r="KR20" s="64"/>
      <c r="KS20" s="64"/>
      <c r="KT20" s="64"/>
      <c r="KU20" s="64"/>
      <c r="KV20" s="64"/>
      <c r="KW20" s="64"/>
      <c r="KX20" s="64"/>
      <c r="KY20" s="64"/>
      <c r="KZ20" s="64"/>
      <c r="LA20" s="64"/>
      <c r="LB20" s="64"/>
      <c r="LC20" s="64"/>
      <c r="LD20" s="64"/>
      <c r="LE20" s="64"/>
      <c r="LF20" s="64"/>
      <c r="LG20" s="64"/>
      <c r="LH20" s="64"/>
      <c r="LI20" s="64"/>
      <c r="LJ20" s="64"/>
      <c r="LK20" s="64"/>
      <c r="LL20" s="64"/>
      <c r="LM20" s="64"/>
      <c r="LN20" s="64"/>
      <c r="LO20" s="64"/>
      <c r="LP20" s="64"/>
      <c r="LQ20" s="64"/>
      <c r="LR20" s="64"/>
      <c r="LS20" s="64"/>
      <c r="LT20" s="64"/>
      <c r="LU20" s="64"/>
      <c r="LV20" s="64"/>
      <c r="LW20" s="64"/>
      <c r="LX20" s="64"/>
      <c r="LY20" s="64"/>
      <c r="LZ20" s="64"/>
      <c r="MA20" s="64"/>
      <c r="MB20" s="64"/>
      <c r="MC20" s="64"/>
      <c r="MD20" s="64"/>
      <c r="ME20" s="64"/>
      <c r="MF20" s="64"/>
      <c r="MG20" s="64"/>
      <c r="MH20" s="64"/>
      <c r="MI20" s="64"/>
      <c r="MJ20" s="64"/>
      <c r="MK20" s="64"/>
      <c r="ML20" s="64"/>
      <c r="MM20" s="64"/>
      <c r="MN20" s="64"/>
      <c r="MO20" s="64"/>
      <c r="MP20" s="64"/>
      <c r="MQ20" s="64"/>
      <c r="MR20" s="64"/>
      <c r="MS20" s="64"/>
      <c r="MT20" s="64"/>
      <c r="MU20" s="64"/>
      <c r="MV20" s="64"/>
      <c r="MW20" s="64"/>
      <c r="MX20" s="64"/>
      <c r="MY20" s="64"/>
      <c r="MZ20" s="64"/>
      <c r="NA20" s="64"/>
      <c r="NB20" s="64"/>
      <c r="NC20" s="64"/>
      <c r="ND20" s="64"/>
      <c r="NE20" s="64"/>
      <c r="NF20" s="64"/>
      <c r="NG20" s="64"/>
      <c r="NH20" s="64"/>
      <c r="NI20" s="64"/>
      <c r="NJ20" s="64"/>
      <c r="NK20" s="64"/>
      <c r="NL20" s="64"/>
      <c r="NM20" s="64"/>
      <c r="NN20" s="64"/>
      <c r="NO20" s="64"/>
      <c r="NP20" s="64"/>
      <c r="NQ20" s="64"/>
      <c r="NR20" s="64"/>
      <c r="NS20" s="64"/>
      <c r="NT20" s="64"/>
      <c r="NU20" s="64"/>
      <c r="NV20" s="64"/>
      <c r="NW20" s="64"/>
      <c r="NX20" s="64"/>
      <c r="NY20" s="64"/>
      <c r="NZ20" s="64"/>
      <c r="OA20" s="64"/>
      <c r="OB20" s="64"/>
      <c r="OC20" s="64"/>
      <c r="OD20" s="64"/>
      <c r="OE20" s="64"/>
      <c r="OF20" s="64"/>
      <c r="OG20" s="64"/>
      <c r="OH20" s="64"/>
      <c r="OI20" s="64"/>
      <c r="OJ20" s="64"/>
      <c r="OK20" s="64"/>
      <c r="OL20" s="64"/>
      <c r="OM20" s="64"/>
      <c r="ON20" s="64"/>
      <c r="OO20" s="64"/>
      <c r="OP20" s="64"/>
      <c r="OQ20" s="64"/>
      <c r="OR20" s="64"/>
      <c r="OS20" s="64"/>
      <c r="OT20" s="64"/>
      <c r="OU20" s="64"/>
      <c r="OV20" s="64"/>
      <c r="OW20" s="64"/>
      <c r="OX20" s="64"/>
      <c r="OY20" s="64"/>
      <c r="OZ20" s="64"/>
      <c r="PA20" s="64"/>
      <c r="PB20" s="64"/>
      <c r="PC20" s="64"/>
      <c r="PD20" s="64"/>
      <c r="PE20" s="64"/>
      <c r="PF20" s="64"/>
      <c r="PG20" s="64"/>
      <c r="PH20" s="64"/>
      <c r="PI20" s="64"/>
      <c r="PJ20" s="64"/>
      <c r="PK20" s="64"/>
      <c r="PL20" s="64"/>
      <c r="PM20" s="64"/>
      <c r="PN20" s="64"/>
      <c r="PO20" s="64"/>
      <c r="PP20" s="64"/>
      <c r="PQ20" s="64"/>
      <c r="PR20" s="64"/>
      <c r="PS20" s="64"/>
      <c r="PT20" s="64"/>
      <c r="PU20" s="64"/>
      <c r="PV20" s="64"/>
      <c r="PW20" s="64"/>
      <c r="PX20" s="64"/>
      <c r="PY20" s="64"/>
      <c r="PZ20" s="64"/>
      <c r="QA20" s="64"/>
      <c r="QB20" s="64"/>
      <c r="QC20" s="64"/>
      <c r="QD20" s="64"/>
      <c r="QE20" s="64"/>
      <c r="QF20" s="64"/>
      <c r="QG20" s="64"/>
      <c r="QH20" s="64"/>
      <c r="QI20" s="64"/>
      <c r="QJ20" s="64"/>
      <c r="QK20" s="64"/>
      <c r="QL20" s="64"/>
      <c r="QM20" s="64"/>
      <c r="QN20" s="64"/>
      <c r="QO20" s="64"/>
      <c r="QP20" s="64"/>
      <c r="QQ20" s="64"/>
      <c r="QR20" s="64"/>
      <c r="QS20" s="64"/>
      <c r="QT20" s="64"/>
      <c r="QU20" s="64"/>
      <c r="QV20" s="64"/>
      <c r="QW20" s="64"/>
      <c r="QX20" s="64"/>
      <c r="QY20" s="64"/>
      <c r="QZ20" s="64"/>
      <c r="RA20" s="64"/>
      <c r="RB20" s="64"/>
      <c r="RC20" s="64"/>
      <c r="RD20" s="64"/>
      <c r="RE20" s="64"/>
      <c r="RF20" s="64"/>
      <c r="RG20" s="64"/>
      <c r="RH20" s="64"/>
      <c r="RI20" s="64"/>
      <c r="RJ20" s="64"/>
      <c r="RK20" s="64"/>
      <c r="RL20" s="64"/>
      <c r="RM20" s="64"/>
      <c r="RN20" s="64"/>
      <c r="RO20" s="64"/>
      <c r="RP20" s="64"/>
      <c r="RQ20" s="64"/>
      <c r="RR20" s="64"/>
      <c r="RS20" s="64"/>
      <c r="RT20" s="64"/>
      <c r="RU20" s="64"/>
      <c r="RV20" s="64"/>
      <c r="RW20" s="64"/>
      <c r="RX20" s="64"/>
      <c r="RY20" s="64"/>
      <c r="RZ20" s="64"/>
      <c r="SA20" s="64"/>
      <c r="SB20" s="64"/>
      <c r="SC20" s="64"/>
      <c r="SD20" s="64"/>
      <c r="SE20" s="64"/>
      <c r="SF20" s="64"/>
      <c r="SG20" s="64"/>
      <c r="SH20" s="64"/>
      <c r="SI20" s="64"/>
      <c r="SJ20" s="64"/>
      <c r="SK20" s="64"/>
      <c r="SL20" s="64"/>
      <c r="SM20" s="64"/>
      <c r="SN20" s="64"/>
      <c r="SO20" s="64"/>
      <c r="SP20" s="64"/>
      <c r="SQ20" s="64"/>
      <c r="SR20" s="64"/>
      <c r="SS20" s="64"/>
      <c r="ST20" s="64"/>
      <c r="SU20" s="64"/>
      <c r="SV20" s="64"/>
      <c r="SW20" s="64"/>
      <c r="SX20" s="64"/>
      <c r="SY20" s="64"/>
      <c r="SZ20" s="64"/>
      <c r="TA20" s="64"/>
      <c r="TB20" s="64"/>
      <c r="TC20" s="64"/>
      <c r="TD20" s="64"/>
      <c r="TE20" s="64"/>
      <c r="TF20" s="64"/>
      <c r="TG20" s="64"/>
      <c r="TH20" s="64"/>
      <c r="TI20" s="64"/>
      <c r="TJ20" s="64"/>
      <c r="TK20" s="64"/>
      <c r="TL20" s="64"/>
      <c r="TM20" s="64"/>
      <c r="TN20" s="64"/>
      <c r="TO20" s="64"/>
      <c r="TP20" s="64"/>
      <c r="TQ20" s="64"/>
      <c r="TR20" s="64"/>
      <c r="TS20" s="64"/>
      <c r="TT20" s="64"/>
      <c r="TU20" s="64"/>
      <c r="TV20" s="64"/>
      <c r="TW20" s="64"/>
      <c r="TX20" s="64"/>
      <c r="TY20" s="64"/>
      <c r="TZ20" s="64"/>
      <c r="UA20" s="64"/>
      <c r="UB20" s="64"/>
      <c r="UC20" s="64"/>
      <c r="UD20" s="64"/>
      <c r="UE20" s="64"/>
      <c r="UF20" s="64"/>
      <c r="UG20" s="64"/>
      <c r="UH20" s="64"/>
      <c r="UI20" s="64"/>
      <c r="UJ20" s="64"/>
      <c r="UK20" s="64"/>
      <c r="UL20" s="64"/>
      <c r="UM20" s="64"/>
      <c r="UN20" s="64"/>
      <c r="UO20" s="64"/>
      <c r="UP20" s="64"/>
      <c r="UQ20" s="64"/>
      <c r="UR20" s="64"/>
      <c r="US20" s="64"/>
      <c r="UT20" s="64"/>
      <c r="UU20" s="64"/>
      <c r="UV20" s="64"/>
      <c r="UW20" s="64"/>
      <c r="UX20" s="64"/>
      <c r="UY20" s="64"/>
      <c r="UZ20" s="64"/>
      <c r="VA20" s="64"/>
      <c r="VB20" s="64"/>
      <c r="VC20" s="64"/>
      <c r="VD20" s="64"/>
      <c r="VE20" s="64"/>
      <c r="VF20" s="64"/>
      <c r="VG20" s="64"/>
      <c r="VH20" s="64"/>
      <c r="VI20" s="64"/>
      <c r="VJ20" s="64"/>
      <c r="VK20" s="64"/>
      <c r="VL20" s="64"/>
      <c r="VM20" s="64"/>
      <c r="VN20" s="64"/>
      <c r="VO20" s="64"/>
      <c r="VP20" s="64"/>
      <c r="VQ20" s="64"/>
      <c r="VR20" s="64"/>
      <c r="VS20" s="64"/>
      <c r="VT20" s="64"/>
      <c r="VU20" s="64"/>
      <c r="VV20" s="64"/>
      <c r="VW20" s="64"/>
      <c r="VX20" s="64"/>
      <c r="VY20" s="64"/>
      <c r="VZ20" s="64"/>
      <c r="WA20" s="64"/>
      <c r="WB20" s="64"/>
      <c r="WC20" s="64"/>
      <c r="WD20" s="64"/>
      <c r="WE20" s="64"/>
      <c r="WF20" s="64"/>
      <c r="WG20" s="64"/>
      <c r="WH20" s="64"/>
      <c r="WI20" s="64"/>
      <c r="WJ20" s="64"/>
      <c r="WK20" s="64"/>
      <c r="WL20" s="64"/>
      <c r="WM20" s="64"/>
      <c r="WN20" s="64"/>
      <c r="WO20" s="64"/>
      <c r="WP20" s="64"/>
      <c r="WQ20" s="64"/>
      <c r="WR20" s="64"/>
      <c r="WS20" s="64"/>
      <c r="WT20" s="64"/>
      <c r="WU20" s="64"/>
      <c r="WV20" s="64"/>
      <c r="WW20" s="64"/>
      <c r="WX20" s="64"/>
      <c r="WY20" s="64"/>
      <c r="WZ20" s="64"/>
      <c r="XA20" s="64"/>
      <c r="XB20" s="64"/>
      <c r="XC20" s="64"/>
      <c r="XD20" s="64"/>
      <c r="XE20" s="64"/>
      <c r="XF20" s="64"/>
      <c r="XG20" s="64"/>
      <c r="XH20" s="64"/>
      <c r="XI20" s="64"/>
      <c r="XJ20" s="64"/>
      <c r="XK20" s="64"/>
      <c r="XL20" s="64"/>
      <c r="XM20" s="64"/>
      <c r="XN20" s="64"/>
      <c r="XO20" s="64"/>
      <c r="XP20" s="64"/>
      <c r="XQ20" s="64"/>
      <c r="XR20" s="64"/>
      <c r="XS20" s="64"/>
      <c r="XT20" s="64"/>
      <c r="XU20" s="64"/>
      <c r="XV20" s="64"/>
      <c r="XW20" s="64"/>
      <c r="XX20" s="64"/>
      <c r="XY20" s="64"/>
      <c r="XZ20" s="64"/>
      <c r="YA20" s="64"/>
      <c r="YB20" s="64"/>
      <c r="YC20" s="64"/>
      <c r="YD20" s="64"/>
      <c r="YE20" s="64"/>
      <c r="YF20" s="64"/>
      <c r="YG20" s="64"/>
      <c r="YH20" s="64"/>
      <c r="YI20" s="64"/>
      <c r="YJ20" s="64"/>
      <c r="YK20" s="64"/>
      <c r="YL20" s="64"/>
      <c r="YM20" s="64"/>
      <c r="YN20" s="64"/>
      <c r="YO20" s="64"/>
      <c r="YP20" s="64"/>
      <c r="YQ20" s="64"/>
      <c r="YR20" s="64"/>
      <c r="YS20" s="64"/>
      <c r="YT20" s="64"/>
      <c r="YU20" s="64"/>
      <c r="YV20" s="64"/>
      <c r="YW20" s="64"/>
      <c r="YX20" s="64"/>
      <c r="YY20" s="64"/>
      <c r="YZ20" s="64"/>
      <c r="ZA20" s="64"/>
    </row>
    <row r="21" customFormat="false" ht="15" hidden="false" customHeight="false" outlineLevel="0" collapsed="false">
      <c r="A21" s="54"/>
      <c r="B21" s="47" t="str">
        <f aca="false">Основна!A32</f>
        <v>Військово-облікова спеціальність</v>
      </c>
      <c r="C21" s="56" t="str">
        <f aca="false">IF(Основна!B32 = 0, "",  Основна!B32)</f>
        <v/>
      </c>
      <c r="D21" s="56"/>
      <c r="G21" s="61" t="n">
        <f aca="true">OFFSET($D$87,(ROW()-ROW(G$16))*5+(COLUMN()-COLUMN($G21)),0)</f>
        <v>0</v>
      </c>
      <c r="H21" s="61" t="n">
        <f aca="true">OFFSET($D$87,(ROW()-ROW(H$16))*5+(COLUMN()-COLUMN($G21)),0)</f>
        <v>0</v>
      </c>
      <c r="I21" s="61" t="n">
        <f aca="true">OFFSET($D$87,(ROW()-ROW(I$16))*5+(COLUMN()-COLUMN($G21)),0)</f>
        <v>0</v>
      </c>
      <c r="J21" s="61" t="n">
        <f aca="true">OFFSET($D$87,(ROW()-ROW(J$16))*5+(COLUMN()-COLUMN($G21)),0)</f>
        <v>0</v>
      </c>
      <c r="K21" s="61" t="n">
        <f aca="true">OFFSET($D$87,(ROW()-ROW(K$16))*5+(COLUMN()-COLUMN($G21)),0)</f>
        <v>0</v>
      </c>
      <c r="L21" s="2"/>
      <c r="M21" s="2"/>
      <c r="O21" s="58"/>
      <c r="P21" s="9" t="s">
        <v>24</v>
      </c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  <c r="IW21" s="64"/>
      <c r="IX21" s="64"/>
      <c r="IY21" s="64"/>
      <c r="IZ21" s="64"/>
      <c r="JA21" s="64"/>
      <c r="JB21" s="64"/>
      <c r="JC21" s="64"/>
      <c r="JD21" s="64"/>
      <c r="JE21" s="64"/>
      <c r="JF21" s="64"/>
      <c r="JG21" s="64"/>
      <c r="JH21" s="64"/>
      <c r="JI21" s="64"/>
      <c r="JJ21" s="64"/>
      <c r="JK21" s="64"/>
      <c r="JL21" s="64"/>
      <c r="JM21" s="64"/>
      <c r="JN21" s="64"/>
      <c r="JO21" s="64"/>
      <c r="JP21" s="64"/>
      <c r="JQ21" s="64"/>
      <c r="JR21" s="64"/>
      <c r="JS21" s="64"/>
      <c r="JT21" s="64"/>
      <c r="JU21" s="64"/>
      <c r="JV21" s="64"/>
      <c r="JW21" s="64"/>
      <c r="JX21" s="64"/>
      <c r="JY21" s="64"/>
      <c r="JZ21" s="64"/>
      <c r="KA21" s="64"/>
      <c r="KB21" s="64"/>
      <c r="KC21" s="64"/>
      <c r="KD21" s="64"/>
      <c r="KE21" s="64"/>
      <c r="KF21" s="64"/>
      <c r="KG21" s="64"/>
      <c r="KH21" s="64"/>
      <c r="KI21" s="64"/>
      <c r="KJ21" s="64"/>
      <c r="KK21" s="64"/>
      <c r="KL21" s="64"/>
      <c r="KM21" s="64"/>
      <c r="KN21" s="64"/>
      <c r="KO21" s="64"/>
      <c r="KP21" s="64"/>
      <c r="KQ21" s="64"/>
      <c r="KR21" s="64"/>
      <c r="KS21" s="64"/>
      <c r="KT21" s="64"/>
      <c r="KU21" s="64"/>
      <c r="KV21" s="64"/>
      <c r="KW21" s="64"/>
      <c r="KX21" s="64"/>
      <c r="KY21" s="64"/>
      <c r="KZ21" s="64"/>
      <c r="LA21" s="64"/>
      <c r="LB21" s="64"/>
      <c r="LC21" s="64"/>
      <c r="LD21" s="64"/>
      <c r="LE21" s="64"/>
      <c r="LF21" s="64"/>
      <c r="LG21" s="64"/>
      <c r="LH21" s="64"/>
      <c r="LI21" s="64"/>
      <c r="LJ21" s="64"/>
      <c r="LK21" s="64"/>
      <c r="LL21" s="64"/>
      <c r="LM21" s="64"/>
      <c r="LN21" s="64"/>
      <c r="LO21" s="64"/>
      <c r="LP21" s="64"/>
      <c r="LQ21" s="64"/>
      <c r="LR21" s="64"/>
      <c r="LS21" s="64"/>
      <c r="LT21" s="64"/>
      <c r="LU21" s="64"/>
      <c r="LV21" s="64"/>
      <c r="LW21" s="64"/>
      <c r="LX21" s="64"/>
      <c r="LY21" s="64"/>
      <c r="LZ21" s="64"/>
      <c r="MA21" s="64"/>
      <c r="MB21" s="64"/>
      <c r="MC21" s="64"/>
      <c r="MD21" s="64"/>
      <c r="ME21" s="64"/>
      <c r="MF21" s="64"/>
      <c r="MG21" s="64"/>
      <c r="MH21" s="64"/>
      <c r="MI21" s="64"/>
      <c r="MJ21" s="64"/>
      <c r="MK21" s="64"/>
      <c r="ML21" s="64"/>
      <c r="MM21" s="64"/>
      <c r="MN21" s="64"/>
      <c r="MO21" s="64"/>
      <c r="MP21" s="64"/>
      <c r="MQ21" s="64"/>
      <c r="MR21" s="64"/>
      <c r="MS21" s="64"/>
      <c r="MT21" s="64"/>
      <c r="MU21" s="64"/>
      <c r="MV21" s="64"/>
      <c r="MW21" s="64"/>
      <c r="MX21" s="64"/>
      <c r="MY21" s="64"/>
      <c r="MZ21" s="64"/>
      <c r="NA21" s="64"/>
      <c r="NB21" s="64"/>
      <c r="NC21" s="64"/>
      <c r="ND21" s="64"/>
      <c r="NE21" s="64"/>
      <c r="NF21" s="64"/>
      <c r="NG21" s="64"/>
      <c r="NH21" s="64"/>
      <c r="NI21" s="64"/>
      <c r="NJ21" s="64"/>
      <c r="NK21" s="64"/>
      <c r="NL21" s="64"/>
      <c r="NM21" s="64"/>
      <c r="NN21" s="64"/>
      <c r="NO21" s="64"/>
      <c r="NP21" s="64"/>
      <c r="NQ21" s="64"/>
      <c r="NR21" s="64"/>
      <c r="NS21" s="64"/>
      <c r="NT21" s="64"/>
      <c r="NU21" s="64"/>
      <c r="NV21" s="64"/>
      <c r="NW21" s="64"/>
      <c r="NX21" s="64"/>
      <c r="NY21" s="64"/>
      <c r="NZ21" s="64"/>
      <c r="OA21" s="64"/>
      <c r="OB21" s="64"/>
      <c r="OC21" s="64"/>
      <c r="OD21" s="64"/>
      <c r="OE21" s="64"/>
      <c r="OF21" s="64"/>
      <c r="OG21" s="64"/>
      <c r="OH21" s="64"/>
      <c r="OI21" s="64"/>
      <c r="OJ21" s="64"/>
      <c r="OK21" s="64"/>
      <c r="OL21" s="64"/>
      <c r="OM21" s="64"/>
      <c r="ON21" s="64"/>
      <c r="OO21" s="64"/>
      <c r="OP21" s="64"/>
      <c r="OQ21" s="64"/>
      <c r="OR21" s="64"/>
      <c r="OS21" s="64"/>
      <c r="OT21" s="64"/>
      <c r="OU21" s="64"/>
      <c r="OV21" s="64"/>
      <c r="OW21" s="64"/>
      <c r="OX21" s="64"/>
      <c r="OY21" s="64"/>
      <c r="OZ21" s="64"/>
      <c r="PA21" s="64"/>
      <c r="PB21" s="64"/>
      <c r="PC21" s="64"/>
      <c r="PD21" s="64"/>
      <c r="PE21" s="64"/>
      <c r="PF21" s="64"/>
      <c r="PG21" s="64"/>
      <c r="PH21" s="64"/>
      <c r="PI21" s="64"/>
      <c r="PJ21" s="64"/>
      <c r="PK21" s="64"/>
      <c r="PL21" s="64"/>
      <c r="PM21" s="64"/>
      <c r="PN21" s="64"/>
      <c r="PO21" s="64"/>
      <c r="PP21" s="64"/>
      <c r="PQ21" s="64"/>
      <c r="PR21" s="64"/>
      <c r="PS21" s="64"/>
      <c r="PT21" s="64"/>
      <c r="PU21" s="64"/>
      <c r="PV21" s="64"/>
      <c r="PW21" s="64"/>
      <c r="PX21" s="64"/>
      <c r="PY21" s="64"/>
      <c r="PZ21" s="64"/>
      <c r="QA21" s="64"/>
      <c r="QB21" s="64"/>
      <c r="QC21" s="64"/>
      <c r="QD21" s="64"/>
      <c r="QE21" s="64"/>
      <c r="QF21" s="64"/>
      <c r="QG21" s="64"/>
      <c r="QH21" s="64"/>
      <c r="QI21" s="64"/>
      <c r="QJ21" s="64"/>
      <c r="QK21" s="64"/>
      <c r="QL21" s="64"/>
      <c r="QM21" s="64"/>
      <c r="QN21" s="64"/>
      <c r="QO21" s="64"/>
      <c r="QP21" s="64"/>
      <c r="QQ21" s="64"/>
      <c r="QR21" s="64"/>
      <c r="QS21" s="64"/>
      <c r="QT21" s="64"/>
      <c r="QU21" s="64"/>
      <c r="QV21" s="64"/>
      <c r="QW21" s="64"/>
      <c r="QX21" s="64"/>
      <c r="QY21" s="64"/>
      <c r="QZ21" s="64"/>
      <c r="RA21" s="64"/>
      <c r="RB21" s="64"/>
      <c r="RC21" s="64"/>
      <c r="RD21" s="64"/>
      <c r="RE21" s="64"/>
      <c r="RF21" s="64"/>
      <c r="RG21" s="64"/>
      <c r="RH21" s="64"/>
      <c r="RI21" s="64"/>
      <c r="RJ21" s="64"/>
      <c r="RK21" s="64"/>
      <c r="RL21" s="64"/>
      <c r="RM21" s="64"/>
      <c r="RN21" s="64"/>
      <c r="RO21" s="64"/>
      <c r="RP21" s="64"/>
      <c r="RQ21" s="64"/>
      <c r="RR21" s="64"/>
      <c r="RS21" s="64"/>
      <c r="RT21" s="64"/>
      <c r="RU21" s="64"/>
      <c r="RV21" s="64"/>
      <c r="RW21" s="64"/>
      <c r="RX21" s="64"/>
      <c r="RY21" s="64"/>
      <c r="RZ21" s="64"/>
      <c r="SA21" s="64"/>
      <c r="SB21" s="64"/>
      <c r="SC21" s="64"/>
      <c r="SD21" s="64"/>
      <c r="SE21" s="64"/>
      <c r="SF21" s="64"/>
      <c r="SG21" s="64"/>
      <c r="SH21" s="64"/>
      <c r="SI21" s="64"/>
      <c r="SJ21" s="64"/>
      <c r="SK21" s="64"/>
      <c r="SL21" s="64"/>
      <c r="SM21" s="64"/>
      <c r="SN21" s="64"/>
      <c r="SO21" s="64"/>
      <c r="SP21" s="64"/>
      <c r="SQ21" s="64"/>
      <c r="SR21" s="64"/>
      <c r="SS21" s="64"/>
      <c r="ST21" s="64"/>
      <c r="SU21" s="64"/>
      <c r="SV21" s="64"/>
      <c r="SW21" s="64"/>
      <c r="SX21" s="64"/>
      <c r="SY21" s="64"/>
      <c r="SZ21" s="64"/>
      <c r="TA21" s="64"/>
      <c r="TB21" s="64"/>
      <c r="TC21" s="64"/>
      <c r="TD21" s="64"/>
      <c r="TE21" s="64"/>
      <c r="TF21" s="64"/>
      <c r="TG21" s="64"/>
      <c r="TH21" s="64"/>
      <c r="TI21" s="64"/>
      <c r="TJ21" s="64"/>
      <c r="TK21" s="64"/>
      <c r="TL21" s="64"/>
      <c r="TM21" s="64"/>
      <c r="TN21" s="64"/>
      <c r="TO21" s="64"/>
      <c r="TP21" s="64"/>
      <c r="TQ21" s="64"/>
      <c r="TR21" s="64"/>
      <c r="TS21" s="64"/>
      <c r="TT21" s="64"/>
      <c r="TU21" s="64"/>
      <c r="TV21" s="64"/>
      <c r="TW21" s="64"/>
      <c r="TX21" s="64"/>
      <c r="TY21" s="64"/>
      <c r="TZ21" s="64"/>
      <c r="UA21" s="64"/>
      <c r="UB21" s="64"/>
      <c r="UC21" s="64"/>
      <c r="UD21" s="64"/>
      <c r="UE21" s="64"/>
      <c r="UF21" s="64"/>
      <c r="UG21" s="64"/>
      <c r="UH21" s="64"/>
      <c r="UI21" s="64"/>
      <c r="UJ21" s="64"/>
      <c r="UK21" s="64"/>
      <c r="UL21" s="64"/>
      <c r="UM21" s="64"/>
      <c r="UN21" s="64"/>
      <c r="UO21" s="64"/>
      <c r="UP21" s="64"/>
      <c r="UQ21" s="64"/>
      <c r="UR21" s="64"/>
      <c r="US21" s="64"/>
      <c r="UT21" s="64"/>
      <c r="UU21" s="64"/>
      <c r="UV21" s="64"/>
      <c r="UW21" s="64"/>
      <c r="UX21" s="64"/>
      <c r="UY21" s="64"/>
      <c r="UZ21" s="64"/>
      <c r="VA21" s="64"/>
      <c r="VB21" s="64"/>
      <c r="VC21" s="64"/>
      <c r="VD21" s="64"/>
      <c r="VE21" s="64"/>
      <c r="VF21" s="64"/>
      <c r="VG21" s="64"/>
      <c r="VH21" s="64"/>
      <c r="VI21" s="64"/>
      <c r="VJ21" s="64"/>
      <c r="VK21" s="64"/>
      <c r="VL21" s="64"/>
      <c r="VM21" s="64"/>
      <c r="VN21" s="64"/>
      <c r="VO21" s="64"/>
      <c r="VP21" s="64"/>
      <c r="VQ21" s="64"/>
      <c r="VR21" s="64"/>
      <c r="VS21" s="64"/>
      <c r="VT21" s="64"/>
      <c r="VU21" s="64"/>
      <c r="VV21" s="64"/>
      <c r="VW21" s="64"/>
      <c r="VX21" s="64"/>
      <c r="VY21" s="64"/>
      <c r="VZ21" s="64"/>
      <c r="WA21" s="64"/>
      <c r="WB21" s="64"/>
      <c r="WC21" s="64"/>
      <c r="WD21" s="64"/>
      <c r="WE21" s="64"/>
      <c r="WF21" s="64"/>
      <c r="WG21" s="64"/>
      <c r="WH21" s="64"/>
      <c r="WI21" s="64"/>
      <c r="WJ21" s="64"/>
      <c r="WK21" s="64"/>
      <c r="WL21" s="64"/>
      <c r="WM21" s="64"/>
      <c r="WN21" s="64"/>
      <c r="WO21" s="64"/>
      <c r="WP21" s="64"/>
      <c r="WQ21" s="64"/>
      <c r="WR21" s="64"/>
      <c r="WS21" s="64"/>
      <c r="WT21" s="64"/>
      <c r="WU21" s="64"/>
      <c r="WV21" s="64"/>
      <c r="WW21" s="64"/>
      <c r="WX21" s="64"/>
      <c r="WY21" s="64"/>
      <c r="WZ21" s="64"/>
      <c r="XA21" s="64"/>
      <c r="XB21" s="64"/>
      <c r="XC21" s="64"/>
      <c r="XD21" s="64"/>
      <c r="XE21" s="64"/>
      <c r="XF21" s="64"/>
      <c r="XG21" s="64"/>
      <c r="XH21" s="64"/>
      <c r="XI21" s="64"/>
      <c r="XJ21" s="64"/>
      <c r="XK21" s="64"/>
      <c r="XL21" s="64"/>
      <c r="XM21" s="64"/>
      <c r="XN21" s="64"/>
      <c r="XO21" s="64"/>
      <c r="XP21" s="64"/>
      <c r="XQ21" s="64"/>
      <c r="XR21" s="64"/>
      <c r="XS21" s="64"/>
      <c r="XT21" s="64"/>
      <c r="XU21" s="64"/>
      <c r="XV21" s="64"/>
      <c r="XW21" s="64"/>
      <c r="XX21" s="64"/>
      <c r="XY21" s="64"/>
      <c r="XZ21" s="64"/>
      <c r="YA21" s="64"/>
      <c r="YB21" s="64"/>
      <c r="YC21" s="64"/>
      <c r="YD21" s="64"/>
      <c r="YE21" s="64"/>
      <c r="YF21" s="64"/>
      <c r="YG21" s="64"/>
      <c r="YH21" s="64"/>
      <c r="YI21" s="64"/>
      <c r="YJ21" s="64"/>
      <c r="YK21" s="64"/>
      <c r="YL21" s="64"/>
      <c r="YM21" s="64"/>
      <c r="YN21" s="64"/>
      <c r="YO21" s="64"/>
      <c r="YP21" s="64"/>
      <c r="YQ21" s="64"/>
      <c r="YR21" s="64"/>
      <c r="YS21" s="64"/>
      <c r="YT21" s="64"/>
      <c r="YU21" s="64"/>
      <c r="YV21" s="64"/>
      <c r="YW21" s="64"/>
      <c r="YX21" s="64"/>
      <c r="YY21" s="64"/>
      <c r="YZ21" s="64"/>
      <c r="ZA21" s="64"/>
    </row>
    <row r="22" customFormat="false" ht="15" hidden="false" customHeight="false" outlineLevel="0" collapsed="false">
      <c r="A22" s="54"/>
      <c r="B22" s="47" t="str">
        <f aca="false">Основна!A33</f>
        <v> Придатність до військової служби</v>
      </c>
      <c r="C22" s="56" t="str">
        <f aca="false">IF(Основна!B33 = 0, "",  Основна!B33)</f>
        <v/>
      </c>
      <c r="D22" s="56"/>
      <c r="O22" s="58"/>
      <c r="P22" s="9" t="s">
        <v>32</v>
      </c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64"/>
      <c r="HO22" s="64"/>
      <c r="HP22" s="64"/>
      <c r="HQ22" s="64"/>
      <c r="HR22" s="64"/>
      <c r="HS22" s="64"/>
      <c r="HT22" s="64"/>
      <c r="HU22" s="64"/>
      <c r="HV22" s="64"/>
      <c r="HW22" s="64"/>
      <c r="HX22" s="64"/>
      <c r="HY22" s="64"/>
      <c r="HZ22" s="64"/>
      <c r="IA22" s="64"/>
      <c r="IB22" s="64"/>
      <c r="IC22" s="64"/>
      <c r="ID22" s="64"/>
      <c r="IE22" s="64"/>
      <c r="IF22" s="64"/>
      <c r="IG22" s="64"/>
      <c r="IH22" s="64"/>
      <c r="II22" s="64"/>
      <c r="IJ22" s="64"/>
      <c r="IK22" s="64"/>
      <c r="IL22" s="64"/>
      <c r="IM22" s="64"/>
      <c r="IN22" s="64"/>
      <c r="IO22" s="64"/>
      <c r="IP22" s="64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F22" s="64"/>
      <c r="JG22" s="64"/>
      <c r="JH22" s="64"/>
      <c r="JI22" s="64"/>
      <c r="JJ22" s="64"/>
      <c r="JK22" s="64"/>
      <c r="JL22" s="64"/>
      <c r="JM22" s="64"/>
      <c r="JN22" s="64"/>
      <c r="JO22" s="64"/>
      <c r="JP22" s="64"/>
      <c r="JQ22" s="64"/>
      <c r="JR22" s="64"/>
      <c r="JS22" s="64"/>
      <c r="JT22" s="64"/>
      <c r="JU22" s="64"/>
      <c r="JV22" s="64"/>
      <c r="JW22" s="64"/>
      <c r="JX22" s="64"/>
      <c r="JY22" s="64"/>
      <c r="JZ22" s="64"/>
      <c r="KA22" s="64"/>
      <c r="KB22" s="64"/>
      <c r="KC22" s="64"/>
      <c r="KD22" s="64"/>
      <c r="KE22" s="64"/>
      <c r="KF22" s="64"/>
      <c r="KG22" s="64"/>
      <c r="KH22" s="64"/>
      <c r="KI22" s="64"/>
      <c r="KJ22" s="64"/>
      <c r="KK22" s="64"/>
      <c r="KL22" s="64"/>
      <c r="KM22" s="64"/>
      <c r="KN22" s="64"/>
      <c r="KO22" s="64"/>
      <c r="KP22" s="64"/>
      <c r="KQ22" s="64"/>
      <c r="KR22" s="64"/>
      <c r="KS22" s="64"/>
      <c r="KT22" s="64"/>
      <c r="KU22" s="64"/>
      <c r="KV22" s="64"/>
      <c r="KW22" s="64"/>
      <c r="KX22" s="64"/>
      <c r="KY22" s="64"/>
      <c r="KZ22" s="64"/>
      <c r="LA22" s="64"/>
      <c r="LB22" s="64"/>
      <c r="LC22" s="64"/>
      <c r="LD22" s="64"/>
      <c r="LE22" s="64"/>
      <c r="LF22" s="64"/>
      <c r="LG22" s="64"/>
      <c r="LH22" s="64"/>
      <c r="LI22" s="64"/>
      <c r="LJ22" s="64"/>
      <c r="LK22" s="64"/>
      <c r="LL22" s="64"/>
      <c r="LM22" s="64"/>
      <c r="LN22" s="64"/>
      <c r="LO22" s="64"/>
      <c r="LP22" s="64"/>
      <c r="LQ22" s="64"/>
      <c r="LR22" s="64"/>
      <c r="LS22" s="64"/>
      <c r="LT22" s="64"/>
      <c r="LU22" s="64"/>
      <c r="LV22" s="64"/>
      <c r="LW22" s="64"/>
      <c r="LX22" s="64"/>
      <c r="LY22" s="64"/>
      <c r="LZ22" s="64"/>
      <c r="MA22" s="64"/>
      <c r="MB22" s="64"/>
      <c r="MC22" s="64"/>
      <c r="MD22" s="64"/>
      <c r="ME22" s="64"/>
      <c r="MF22" s="64"/>
      <c r="MG22" s="64"/>
      <c r="MH22" s="64"/>
      <c r="MI22" s="64"/>
      <c r="MJ22" s="64"/>
      <c r="MK22" s="64"/>
      <c r="ML22" s="64"/>
      <c r="MM22" s="64"/>
      <c r="MN22" s="64"/>
      <c r="MO22" s="64"/>
      <c r="MP22" s="64"/>
      <c r="MQ22" s="64"/>
      <c r="MR22" s="64"/>
      <c r="MS22" s="64"/>
      <c r="MT22" s="64"/>
      <c r="MU22" s="64"/>
      <c r="MV22" s="64"/>
      <c r="MW22" s="64"/>
      <c r="MX22" s="64"/>
      <c r="MY22" s="64"/>
      <c r="MZ22" s="64"/>
      <c r="NA22" s="64"/>
      <c r="NB22" s="64"/>
      <c r="NC22" s="64"/>
      <c r="ND22" s="64"/>
      <c r="NE22" s="64"/>
      <c r="NF22" s="64"/>
      <c r="NG22" s="64"/>
      <c r="NH22" s="64"/>
      <c r="NI22" s="64"/>
      <c r="NJ22" s="64"/>
      <c r="NK22" s="64"/>
      <c r="NL22" s="64"/>
      <c r="NM22" s="64"/>
      <c r="NN22" s="64"/>
      <c r="NO22" s="64"/>
      <c r="NP22" s="64"/>
      <c r="NQ22" s="64"/>
      <c r="NR22" s="64"/>
      <c r="NS22" s="64"/>
      <c r="NT22" s="64"/>
      <c r="NU22" s="64"/>
      <c r="NV22" s="64"/>
      <c r="NW22" s="64"/>
      <c r="NX22" s="64"/>
      <c r="NY22" s="64"/>
      <c r="NZ22" s="64"/>
      <c r="OA22" s="64"/>
      <c r="OB22" s="64"/>
      <c r="OC22" s="64"/>
      <c r="OD22" s="64"/>
      <c r="OE22" s="64"/>
      <c r="OF22" s="64"/>
      <c r="OG22" s="64"/>
      <c r="OH22" s="64"/>
      <c r="OI22" s="64"/>
      <c r="OJ22" s="64"/>
      <c r="OK22" s="64"/>
      <c r="OL22" s="64"/>
      <c r="OM22" s="64"/>
      <c r="ON22" s="64"/>
      <c r="OO22" s="64"/>
      <c r="OP22" s="64"/>
      <c r="OQ22" s="64"/>
      <c r="OR22" s="64"/>
      <c r="OS22" s="64"/>
      <c r="OT22" s="64"/>
      <c r="OU22" s="64"/>
      <c r="OV22" s="64"/>
      <c r="OW22" s="64"/>
      <c r="OX22" s="64"/>
      <c r="OY22" s="64"/>
      <c r="OZ22" s="64"/>
      <c r="PA22" s="64"/>
      <c r="PB22" s="64"/>
      <c r="PC22" s="64"/>
      <c r="PD22" s="64"/>
      <c r="PE22" s="64"/>
      <c r="PF22" s="64"/>
      <c r="PG22" s="64"/>
      <c r="PH22" s="64"/>
      <c r="PI22" s="64"/>
      <c r="PJ22" s="64"/>
      <c r="PK22" s="64"/>
      <c r="PL22" s="64"/>
      <c r="PM22" s="64"/>
      <c r="PN22" s="64"/>
      <c r="PO22" s="64"/>
      <c r="PP22" s="64"/>
      <c r="PQ22" s="64"/>
      <c r="PR22" s="64"/>
      <c r="PS22" s="64"/>
      <c r="PT22" s="64"/>
      <c r="PU22" s="64"/>
      <c r="PV22" s="64"/>
      <c r="PW22" s="64"/>
      <c r="PX22" s="64"/>
      <c r="PY22" s="64"/>
      <c r="PZ22" s="64"/>
      <c r="QA22" s="64"/>
      <c r="QB22" s="64"/>
      <c r="QC22" s="64"/>
      <c r="QD22" s="64"/>
      <c r="QE22" s="64"/>
      <c r="QF22" s="64"/>
      <c r="QG22" s="64"/>
      <c r="QH22" s="64"/>
      <c r="QI22" s="64"/>
      <c r="QJ22" s="64"/>
      <c r="QK22" s="64"/>
      <c r="QL22" s="64"/>
      <c r="QM22" s="64"/>
      <c r="QN22" s="64"/>
      <c r="QO22" s="64"/>
      <c r="QP22" s="64"/>
      <c r="QQ22" s="64"/>
      <c r="QR22" s="64"/>
      <c r="QS22" s="64"/>
      <c r="QT22" s="64"/>
      <c r="QU22" s="64"/>
      <c r="QV22" s="64"/>
      <c r="QW22" s="64"/>
      <c r="QX22" s="64"/>
      <c r="QY22" s="64"/>
      <c r="QZ22" s="64"/>
      <c r="RA22" s="64"/>
      <c r="RB22" s="64"/>
      <c r="RC22" s="64"/>
      <c r="RD22" s="64"/>
      <c r="RE22" s="64"/>
      <c r="RF22" s="64"/>
      <c r="RG22" s="64"/>
      <c r="RH22" s="64"/>
      <c r="RI22" s="64"/>
      <c r="RJ22" s="64"/>
      <c r="RK22" s="64"/>
      <c r="RL22" s="64"/>
      <c r="RM22" s="64"/>
      <c r="RN22" s="64"/>
      <c r="RO22" s="64"/>
      <c r="RP22" s="64"/>
      <c r="RQ22" s="64"/>
      <c r="RR22" s="64"/>
      <c r="RS22" s="64"/>
      <c r="RT22" s="64"/>
      <c r="RU22" s="64"/>
      <c r="RV22" s="64"/>
      <c r="RW22" s="64"/>
      <c r="RX22" s="64"/>
      <c r="RY22" s="64"/>
      <c r="RZ22" s="64"/>
      <c r="SA22" s="64"/>
      <c r="SB22" s="64"/>
      <c r="SC22" s="64"/>
      <c r="SD22" s="64"/>
      <c r="SE22" s="64"/>
      <c r="SF22" s="64"/>
      <c r="SG22" s="64"/>
      <c r="SH22" s="64"/>
      <c r="SI22" s="64"/>
      <c r="SJ22" s="64"/>
      <c r="SK22" s="64"/>
      <c r="SL22" s="64"/>
      <c r="SM22" s="64"/>
      <c r="SN22" s="64"/>
      <c r="SO22" s="64"/>
      <c r="SP22" s="64"/>
      <c r="SQ22" s="64"/>
      <c r="SR22" s="64"/>
      <c r="SS22" s="64"/>
      <c r="ST22" s="64"/>
      <c r="SU22" s="64"/>
      <c r="SV22" s="64"/>
      <c r="SW22" s="64"/>
      <c r="SX22" s="64"/>
      <c r="SY22" s="64"/>
      <c r="SZ22" s="64"/>
      <c r="TA22" s="64"/>
      <c r="TB22" s="64"/>
      <c r="TC22" s="64"/>
      <c r="TD22" s="64"/>
      <c r="TE22" s="64"/>
      <c r="TF22" s="64"/>
      <c r="TG22" s="64"/>
      <c r="TH22" s="64"/>
      <c r="TI22" s="64"/>
      <c r="TJ22" s="64"/>
      <c r="TK22" s="64"/>
      <c r="TL22" s="64"/>
      <c r="TM22" s="64"/>
      <c r="TN22" s="64"/>
      <c r="TO22" s="64"/>
      <c r="TP22" s="64"/>
      <c r="TQ22" s="64"/>
      <c r="TR22" s="64"/>
      <c r="TS22" s="64"/>
      <c r="TT22" s="64"/>
      <c r="TU22" s="64"/>
      <c r="TV22" s="64"/>
      <c r="TW22" s="64"/>
      <c r="TX22" s="64"/>
      <c r="TY22" s="64"/>
      <c r="TZ22" s="64"/>
      <c r="UA22" s="64"/>
      <c r="UB22" s="64"/>
      <c r="UC22" s="64"/>
      <c r="UD22" s="64"/>
      <c r="UE22" s="64"/>
      <c r="UF22" s="64"/>
      <c r="UG22" s="64"/>
      <c r="UH22" s="64"/>
      <c r="UI22" s="64"/>
      <c r="UJ22" s="64"/>
      <c r="UK22" s="64"/>
      <c r="UL22" s="64"/>
      <c r="UM22" s="64"/>
      <c r="UN22" s="64"/>
      <c r="UO22" s="64"/>
      <c r="UP22" s="64"/>
      <c r="UQ22" s="64"/>
      <c r="UR22" s="64"/>
      <c r="US22" s="64"/>
      <c r="UT22" s="64"/>
      <c r="UU22" s="64"/>
      <c r="UV22" s="64"/>
      <c r="UW22" s="64"/>
      <c r="UX22" s="64"/>
      <c r="UY22" s="64"/>
      <c r="UZ22" s="64"/>
      <c r="VA22" s="64"/>
      <c r="VB22" s="64"/>
      <c r="VC22" s="64"/>
      <c r="VD22" s="64"/>
      <c r="VE22" s="64"/>
      <c r="VF22" s="64"/>
      <c r="VG22" s="64"/>
      <c r="VH22" s="64"/>
      <c r="VI22" s="64"/>
      <c r="VJ22" s="64"/>
      <c r="VK22" s="64"/>
      <c r="VL22" s="64"/>
      <c r="VM22" s="64"/>
      <c r="VN22" s="64"/>
      <c r="VO22" s="64"/>
      <c r="VP22" s="64"/>
      <c r="VQ22" s="64"/>
      <c r="VR22" s="64"/>
      <c r="VS22" s="64"/>
      <c r="VT22" s="64"/>
      <c r="VU22" s="64"/>
      <c r="VV22" s="64"/>
      <c r="VW22" s="64"/>
      <c r="VX22" s="64"/>
      <c r="VY22" s="64"/>
      <c r="VZ22" s="64"/>
      <c r="WA22" s="64"/>
      <c r="WB22" s="64"/>
      <c r="WC22" s="64"/>
      <c r="WD22" s="64"/>
      <c r="WE22" s="64"/>
      <c r="WF22" s="64"/>
      <c r="WG22" s="64"/>
      <c r="WH22" s="64"/>
      <c r="WI22" s="64"/>
      <c r="WJ22" s="64"/>
      <c r="WK22" s="64"/>
      <c r="WL22" s="64"/>
      <c r="WM22" s="64"/>
      <c r="WN22" s="64"/>
      <c r="WO22" s="64"/>
      <c r="WP22" s="64"/>
      <c r="WQ22" s="64"/>
      <c r="WR22" s="64"/>
      <c r="WS22" s="64"/>
      <c r="WT22" s="64"/>
      <c r="WU22" s="64"/>
      <c r="WV22" s="64"/>
      <c r="WW22" s="64"/>
      <c r="WX22" s="64"/>
      <c r="WY22" s="64"/>
      <c r="WZ22" s="64"/>
      <c r="XA22" s="64"/>
      <c r="XB22" s="64"/>
      <c r="XC22" s="64"/>
      <c r="XD22" s="64"/>
      <c r="XE22" s="64"/>
      <c r="XF22" s="64"/>
      <c r="XG22" s="64"/>
      <c r="XH22" s="64"/>
      <c r="XI22" s="64"/>
      <c r="XJ22" s="64"/>
      <c r="XK22" s="64"/>
      <c r="XL22" s="64"/>
      <c r="XM22" s="64"/>
      <c r="XN22" s="64"/>
      <c r="XO22" s="64"/>
      <c r="XP22" s="64"/>
      <c r="XQ22" s="64"/>
      <c r="XR22" s="64"/>
      <c r="XS22" s="64"/>
      <c r="XT22" s="64"/>
      <c r="XU22" s="64"/>
      <c r="XV22" s="64"/>
      <c r="XW22" s="64"/>
      <c r="XX22" s="64"/>
      <c r="XY22" s="64"/>
      <c r="XZ22" s="64"/>
      <c r="YA22" s="64"/>
      <c r="YB22" s="64"/>
      <c r="YC22" s="64"/>
      <c r="YD22" s="64"/>
      <c r="YE22" s="64"/>
      <c r="YF22" s="64"/>
      <c r="YG22" s="64"/>
      <c r="YH22" s="64"/>
      <c r="YI22" s="64"/>
      <c r="YJ22" s="64"/>
      <c r="YK22" s="64"/>
      <c r="YL22" s="64"/>
      <c r="YM22" s="64"/>
      <c r="YN22" s="64"/>
      <c r="YO22" s="64"/>
      <c r="YP22" s="64"/>
      <c r="YQ22" s="64"/>
      <c r="YR22" s="64"/>
      <c r="YS22" s="64"/>
      <c r="YT22" s="64"/>
      <c r="YU22" s="64"/>
      <c r="YV22" s="64"/>
      <c r="YW22" s="64"/>
      <c r="YX22" s="64"/>
      <c r="YY22" s="64"/>
      <c r="YZ22" s="64"/>
      <c r="ZA22" s="64"/>
    </row>
    <row r="23" customFormat="false" ht="15" hidden="false" customHeight="false" outlineLevel="0" collapsed="false">
      <c r="A23" s="54"/>
      <c r="B23" s="47" t="str">
        <f aca="false">Основна!A34</f>
        <v>Териториальний центр комплектування та соціальної підтримки</v>
      </c>
      <c r="C23" s="56" t="str">
        <f aca="false">IF(Основна!B34 = 0, "",  Основна!B34)</f>
        <v/>
      </c>
      <c r="D23" s="56"/>
      <c r="O23" s="58"/>
      <c r="P23" s="9" t="s">
        <v>34</v>
      </c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64"/>
      <c r="HO23" s="64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/>
      <c r="IF23" s="64"/>
      <c r="IG23" s="64"/>
      <c r="IH23" s="64"/>
      <c r="II23" s="64"/>
      <c r="IJ23" s="64"/>
      <c r="IK23" s="64"/>
      <c r="IL23" s="64"/>
      <c r="IM23" s="64"/>
      <c r="IN23" s="64"/>
      <c r="IO23" s="64"/>
      <c r="IP23" s="64"/>
      <c r="IQ23" s="64"/>
      <c r="IR23" s="64"/>
      <c r="IS23" s="64"/>
      <c r="IT23" s="64"/>
      <c r="IU23" s="64"/>
      <c r="IV23" s="64"/>
      <c r="IW23" s="64"/>
      <c r="IX23" s="64"/>
      <c r="IY23" s="64"/>
      <c r="IZ23" s="64"/>
      <c r="JA23" s="64"/>
      <c r="JB23" s="64"/>
      <c r="JC23" s="64"/>
      <c r="JD23" s="64"/>
      <c r="JE23" s="64"/>
      <c r="JF23" s="64"/>
      <c r="JG23" s="64"/>
      <c r="JH23" s="64"/>
      <c r="JI23" s="64"/>
      <c r="JJ23" s="64"/>
      <c r="JK23" s="64"/>
      <c r="JL23" s="64"/>
      <c r="JM23" s="64"/>
      <c r="JN23" s="64"/>
      <c r="JO23" s="64"/>
      <c r="JP23" s="64"/>
      <c r="JQ23" s="64"/>
      <c r="JR23" s="64"/>
      <c r="JS23" s="64"/>
      <c r="JT23" s="64"/>
      <c r="JU23" s="64"/>
      <c r="JV23" s="64"/>
      <c r="JW23" s="64"/>
      <c r="JX23" s="64"/>
      <c r="JY23" s="64"/>
      <c r="JZ23" s="64"/>
      <c r="KA23" s="64"/>
      <c r="KB23" s="64"/>
      <c r="KC23" s="64"/>
      <c r="KD23" s="64"/>
      <c r="KE23" s="64"/>
      <c r="KF23" s="64"/>
      <c r="KG23" s="64"/>
      <c r="KH23" s="64"/>
      <c r="KI23" s="64"/>
      <c r="KJ23" s="64"/>
      <c r="KK23" s="64"/>
      <c r="KL23" s="64"/>
      <c r="KM23" s="64"/>
      <c r="KN23" s="64"/>
      <c r="KO23" s="64"/>
      <c r="KP23" s="64"/>
      <c r="KQ23" s="64"/>
      <c r="KR23" s="64"/>
      <c r="KS23" s="64"/>
      <c r="KT23" s="64"/>
      <c r="KU23" s="64"/>
      <c r="KV23" s="64"/>
      <c r="KW23" s="64"/>
      <c r="KX23" s="64"/>
      <c r="KY23" s="64"/>
      <c r="KZ23" s="64"/>
      <c r="LA23" s="64"/>
      <c r="LB23" s="64"/>
      <c r="LC23" s="64"/>
      <c r="LD23" s="64"/>
      <c r="LE23" s="64"/>
      <c r="LF23" s="64"/>
      <c r="LG23" s="64"/>
      <c r="LH23" s="64"/>
      <c r="LI23" s="64"/>
      <c r="LJ23" s="64"/>
      <c r="LK23" s="64"/>
      <c r="LL23" s="64"/>
      <c r="LM23" s="64"/>
      <c r="LN23" s="64"/>
      <c r="LO23" s="64"/>
      <c r="LP23" s="64"/>
      <c r="LQ23" s="64"/>
      <c r="LR23" s="64"/>
      <c r="LS23" s="64"/>
      <c r="LT23" s="64"/>
      <c r="LU23" s="64"/>
      <c r="LV23" s="64"/>
      <c r="LW23" s="64"/>
      <c r="LX23" s="64"/>
      <c r="LY23" s="64"/>
      <c r="LZ23" s="64"/>
      <c r="MA23" s="64"/>
      <c r="MB23" s="64"/>
      <c r="MC23" s="64"/>
      <c r="MD23" s="64"/>
      <c r="ME23" s="64"/>
      <c r="MF23" s="64"/>
      <c r="MG23" s="64"/>
      <c r="MH23" s="64"/>
      <c r="MI23" s="64"/>
      <c r="MJ23" s="64"/>
      <c r="MK23" s="64"/>
      <c r="ML23" s="64"/>
      <c r="MM23" s="64"/>
      <c r="MN23" s="64"/>
      <c r="MO23" s="64"/>
      <c r="MP23" s="64"/>
      <c r="MQ23" s="64"/>
      <c r="MR23" s="64"/>
      <c r="MS23" s="64"/>
      <c r="MT23" s="64"/>
      <c r="MU23" s="64"/>
      <c r="MV23" s="64"/>
      <c r="MW23" s="64"/>
      <c r="MX23" s="64"/>
      <c r="MY23" s="64"/>
      <c r="MZ23" s="64"/>
      <c r="NA23" s="64"/>
      <c r="NB23" s="64"/>
      <c r="NC23" s="64"/>
      <c r="ND23" s="64"/>
      <c r="NE23" s="64"/>
      <c r="NF23" s="64"/>
      <c r="NG23" s="64"/>
      <c r="NH23" s="64"/>
      <c r="NI23" s="64"/>
      <c r="NJ23" s="64"/>
      <c r="NK23" s="64"/>
      <c r="NL23" s="64"/>
      <c r="NM23" s="64"/>
      <c r="NN23" s="64"/>
      <c r="NO23" s="64"/>
      <c r="NP23" s="64"/>
      <c r="NQ23" s="64"/>
      <c r="NR23" s="64"/>
      <c r="NS23" s="64"/>
      <c r="NT23" s="64"/>
      <c r="NU23" s="64"/>
      <c r="NV23" s="64"/>
      <c r="NW23" s="64"/>
      <c r="NX23" s="64"/>
      <c r="NY23" s="64"/>
      <c r="NZ23" s="64"/>
      <c r="OA23" s="64"/>
      <c r="OB23" s="64"/>
      <c r="OC23" s="64"/>
      <c r="OD23" s="64"/>
      <c r="OE23" s="64"/>
      <c r="OF23" s="64"/>
      <c r="OG23" s="64"/>
      <c r="OH23" s="64"/>
      <c r="OI23" s="64"/>
      <c r="OJ23" s="64"/>
      <c r="OK23" s="64"/>
      <c r="OL23" s="64"/>
      <c r="OM23" s="64"/>
      <c r="ON23" s="64"/>
      <c r="OO23" s="64"/>
      <c r="OP23" s="64"/>
      <c r="OQ23" s="64"/>
      <c r="OR23" s="64"/>
      <c r="OS23" s="64"/>
      <c r="OT23" s="64"/>
      <c r="OU23" s="64"/>
      <c r="OV23" s="64"/>
      <c r="OW23" s="64"/>
      <c r="OX23" s="64"/>
      <c r="OY23" s="64"/>
      <c r="OZ23" s="64"/>
      <c r="PA23" s="64"/>
      <c r="PB23" s="64"/>
      <c r="PC23" s="64"/>
      <c r="PD23" s="64"/>
      <c r="PE23" s="64"/>
      <c r="PF23" s="64"/>
      <c r="PG23" s="64"/>
      <c r="PH23" s="64"/>
      <c r="PI23" s="64"/>
      <c r="PJ23" s="64"/>
      <c r="PK23" s="64"/>
      <c r="PL23" s="64"/>
      <c r="PM23" s="64"/>
      <c r="PN23" s="64"/>
      <c r="PO23" s="64"/>
      <c r="PP23" s="64"/>
      <c r="PQ23" s="64"/>
      <c r="PR23" s="64"/>
      <c r="PS23" s="64"/>
      <c r="PT23" s="64"/>
      <c r="PU23" s="64"/>
      <c r="PV23" s="64"/>
      <c r="PW23" s="64"/>
      <c r="PX23" s="64"/>
      <c r="PY23" s="64"/>
      <c r="PZ23" s="64"/>
      <c r="QA23" s="64"/>
      <c r="QB23" s="64"/>
      <c r="QC23" s="64"/>
      <c r="QD23" s="64"/>
      <c r="QE23" s="64"/>
      <c r="QF23" s="64"/>
      <c r="QG23" s="64"/>
      <c r="QH23" s="64"/>
      <c r="QI23" s="64"/>
      <c r="QJ23" s="64"/>
      <c r="QK23" s="64"/>
      <c r="QL23" s="64"/>
      <c r="QM23" s="64"/>
      <c r="QN23" s="64"/>
      <c r="QO23" s="64"/>
      <c r="QP23" s="64"/>
      <c r="QQ23" s="64"/>
      <c r="QR23" s="64"/>
      <c r="QS23" s="64"/>
      <c r="QT23" s="64"/>
      <c r="QU23" s="64"/>
      <c r="QV23" s="64"/>
      <c r="QW23" s="64"/>
      <c r="QX23" s="64"/>
      <c r="QY23" s="64"/>
      <c r="QZ23" s="64"/>
      <c r="RA23" s="64"/>
      <c r="RB23" s="64"/>
      <c r="RC23" s="64"/>
      <c r="RD23" s="64"/>
      <c r="RE23" s="64"/>
      <c r="RF23" s="64"/>
      <c r="RG23" s="64"/>
      <c r="RH23" s="64"/>
      <c r="RI23" s="64"/>
      <c r="RJ23" s="64"/>
      <c r="RK23" s="64"/>
      <c r="RL23" s="64"/>
      <c r="RM23" s="64"/>
      <c r="RN23" s="64"/>
      <c r="RO23" s="64"/>
      <c r="RP23" s="64"/>
      <c r="RQ23" s="64"/>
      <c r="RR23" s="64"/>
      <c r="RS23" s="64"/>
      <c r="RT23" s="64"/>
      <c r="RU23" s="64"/>
      <c r="RV23" s="64"/>
      <c r="RW23" s="64"/>
      <c r="RX23" s="64"/>
      <c r="RY23" s="64"/>
      <c r="RZ23" s="64"/>
      <c r="SA23" s="64"/>
      <c r="SB23" s="64"/>
      <c r="SC23" s="64"/>
      <c r="SD23" s="64"/>
      <c r="SE23" s="64"/>
      <c r="SF23" s="64"/>
      <c r="SG23" s="64"/>
      <c r="SH23" s="64"/>
      <c r="SI23" s="64"/>
      <c r="SJ23" s="64"/>
      <c r="SK23" s="64"/>
      <c r="SL23" s="64"/>
      <c r="SM23" s="64"/>
      <c r="SN23" s="64"/>
      <c r="SO23" s="64"/>
      <c r="SP23" s="64"/>
      <c r="SQ23" s="64"/>
      <c r="SR23" s="64"/>
      <c r="SS23" s="64"/>
      <c r="ST23" s="64"/>
      <c r="SU23" s="64"/>
      <c r="SV23" s="64"/>
      <c r="SW23" s="64"/>
      <c r="SX23" s="64"/>
      <c r="SY23" s="64"/>
      <c r="SZ23" s="64"/>
      <c r="TA23" s="64"/>
      <c r="TB23" s="64"/>
      <c r="TC23" s="64"/>
      <c r="TD23" s="64"/>
      <c r="TE23" s="64"/>
      <c r="TF23" s="64"/>
      <c r="TG23" s="64"/>
      <c r="TH23" s="64"/>
      <c r="TI23" s="64"/>
      <c r="TJ23" s="64"/>
      <c r="TK23" s="64"/>
      <c r="TL23" s="64"/>
      <c r="TM23" s="64"/>
      <c r="TN23" s="64"/>
      <c r="TO23" s="64"/>
      <c r="TP23" s="64"/>
      <c r="TQ23" s="64"/>
      <c r="TR23" s="64"/>
      <c r="TS23" s="64"/>
      <c r="TT23" s="64"/>
      <c r="TU23" s="64"/>
      <c r="TV23" s="64"/>
      <c r="TW23" s="64"/>
      <c r="TX23" s="64"/>
      <c r="TY23" s="64"/>
      <c r="TZ23" s="64"/>
      <c r="UA23" s="64"/>
      <c r="UB23" s="64"/>
      <c r="UC23" s="64"/>
      <c r="UD23" s="64"/>
      <c r="UE23" s="64"/>
      <c r="UF23" s="64"/>
      <c r="UG23" s="64"/>
      <c r="UH23" s="64"/>
      <c r="UI23" s="64"/>
      <c r="UJ23" s="64"/>
      <c r="UK23" s="64"/>
      <c r="UL23" s="64"/>
      <c r="UM23" s="64"/>
      <c r="UN23" s="64"/>
      <c r="UO23" s="64"/>
      <c r="UP23" s="64"/>
      <c r="UQ23" s="64"/>
      <c r="UR23" s="64"/>
      <c r="US23" s="64"/>
      <c r="UT23" s="64"/>
      <c r="UU23" s="64"/>
      <c r="UV23" s="64"/>
      <c r="UW23" s="64"/>
      <c r="UX23" s="64"/>
      <c r="UY23" s="64"/>
      <c r="UZ23" s="64"/>
      <c r="VA23" s="64"/>
      <c r="VB23" s="64"/>
      <c r="VC23" s="64"/>
      <c r="VD23" s="64"/>
      <c r="VE23" s="64"/>
      <c r="VF23" s="64"/>
      <c r="VG23" s="64"/>
      <c r="VH23" s="64"/>
      <c r="VI23" s="64"/>
      <c r="VJ23" s="64"/>
      <c r="VK23" s="64"/>
      <c r="VL23" s="64"/>
      <c r="VM23" s="64"/>
      <c r="VN23" s="64"/>
      <c r="VO23" s="64"/>
      <c r="VP23" s="64"/>
      <c r="VQ23" s="64"/>
      <c r="VR23" s="64"/>
      <c r="VS23" s="64"/>
      <c r="VT23" s="64"/>
      <c r="VU23" s="64"/>
      <c r="VV23" s="64"/>
      <c r="VW23" s="64"/>
      <c r="VX23" s="64"/>
      <c r="VY23" s="64"/>
      <c r="VZ23" s="64"/>
      <c r="WA23" s="64"/>
      <c r="WB23" s="64"/>
      <c r="WC23" s="64"/>
      <c r="WD23" s="64"/>
      <c r="WE23" s="64"/>
      <c r="WF23" s="64"/>
      <c r="WG23" s="64"/>
      <c r="WH23" s="64"/>
      <c r="WI23" s="64"/>
      <c r="WJ23" s="64"/>
      <c r="WK23" s="64"/>
      <c r="WL23" s="64"/>
      <c r="WM23" s="64"/>
      <c r="WN23" s="64"/>
      <c r="WO23" s="64"/>
      <c r="WP23" s="64"/>
      <c r="WQ23" s="64"/>
      <c r="WR23" s="64"/>
      <c r="WS23" s="64"/>
      <c r="WT23" s="64"/>
      <c r="WU23" s="64"/>
      <c r="WV23" s="64"/>
      <c r="WW23" s="64"/>
      <c r="WX23" s="64"/>
      <c r="WY23" s="64"/>
      <c r="WZ23" s="64"/>
      <c r="XA23" s="64"/>
      <c r="XB23" s="64"/>
      <c r="XC23" s="64"/>
      <c r="XD23" s="64"/>
      <c r="XE23" s="64"/>
      <c r="XF23" s="64"/>
      <c r="XG23" s="64"/>
      <c r="XH23" s="64"/>
      <c r="XI23" s="64"/>
      <c r="XJ23" s="64"/>
      <c r="XK23" s="64"/>
      <c r="XL23" s="64"/>
      <c r="XM23" s="64"/>
      <c r="XN23" s="64"/>
      <c r="XO23" s="64"/>
      <c r="XP23" s="64"/>
      <c r="XQ23" s="64"/>
      <c r="XR23" s="64"/>
      <c r="XS23" s="64"/>
      <c r="XT23" s="64"/>
      <c r="XU23" s="64"/>
      <c r="XV23" s="64"/>
      <c r="XW23" s="64"/>
      <c r="XX23" s="64"/>
      <c r="XY23" s="64"/>
      <c r="XZ23" s="64"/>
      <c r="YA23" s="64"/>
      <c r="YB23" s="64"/>
      <c r="YC23" s="64"/>
      <c r="YD23" s="64"/>
      <c r="YE23" s="64"/>
      <c r="YF23" s="64"/>
      <c r="YG23" s="64"/>
      <c r="YH23" s="64"/>
      <c r="YI23" s="64"/>
      <c r="YJ23" s="64"/>
      <c r="YK23" s="64"/>
      <c r="YL23" s="64"/>
      <c r="YM23" s="64"/>
      <c r="YN23" s="64"/>
      <c r="YO23" s="64"/>
      <c r="YP23" s="64"/>
      <c r="YQ23" s="64"/>
      <c r="YR23" s="64"/>
      <c r="YS23" s="64"/>
      <c r="YT23" s="64"/>
      <c r="YU23" s="64"/>
      <c r="YV23" s="64"/>
      <c r="YW23" s="64"/>
      <c r="YX23" s="64"/>
      <c r="YY23" s="64"/>
      <c r="YZ23" s="64"/>
      <c r="ZA23" s="64"/>
    </row>
    <row r="24" customFormat="false" ht="28.05" hidden="false" customHeight="false" outlineLevel="0" collapsed="false">
      <c r="A24" s="54" t="s">
        <v>155</v>
      </c>
      <c r="B24" s="47" t="str">
        <f aca="false">'Адреси Контакти'!A4</f>
        <v>Країна</v>
      </c>
      <c r="C24" s="56" t="str">
        <f aca="false">IF('Адреси Контакти'!B4 = 0, "", 'Адреси Контакти'!B4)</f>
        <v/>
      </c>
      <c r="D24" s="56"/>
      <c r="O24" s="58"/>
      <c r="P24" s="60" t="s">
        <v>40</v>
      </c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/>
      <c r="HD24" s="64"/>
      <c r="HE24" s="64"/>
      <c r="HF24" s="64"/>
      <c r="HG24" s="64"/>
      <c r="HH24" s="64"/>
      <c r="HI24" s="64"/>
      <c r="HJ24" s="64"/>
      <c r="HK24" s="64"/>
      <c r="HL24" s="64"/>
      <c r="HM24" s="64"/>
      <c r="HN24" s="64"/>
      <c r="HO24" s="64"/>
      <c r="HP24" s="64"/>
      <c r="HQ24" s="64"/>
      <c r="HR24" s="64"/>
      <c r="HS24" s="64"/>
      <c r="HT24" s="64"/>
      <c r="HU24" s="64"/>
      <c r="HV24" s="64"/>
      <c r="HW24" s="64"/>
      <c r="HX24" s="64"/>
      <c r="HY24" s="64"/>
      <c r="HZ24" s="64"/>
      <c r="IA24" s="64"/>
      <c r="IB24" s="64"/>
      <c r="IC24" s="64"/>
      <c r="ID24" s="64"/>
      <c r="IE24" s="64"/>
      <c r="IF24" s="64"/>
      <c r="IG24" s="64"/>
      <c r="IH24" s="64"/>
      <c r="II24" s="64"/>
      <c r="IJ24" s="64"/>
      <c r="IK24" s="64"/>
      <c r="IL24" s="64"/>
      <c r="IM24" s="64"/>
      <c r="IN24" s="64"/>
      <c r="IO24" s="64"/>
      <c r="IP24" s="64"/>
      <c r="IQ24" s="64"/>
      <c r="IR24" s="64"/>
      <c r="IS24" s="64"/>
      <c r="IT24" s="64"/>
      <c r="IU24" s="64"/>
      <c r="IV24" s="64"/>
      <c r="IW24" s="64"/>
      <c r="IX24" s="64"/>
      <c r="IY24" s="64"/>
      <c r="IZ24" s="64"/>
      <c r="JA24" s="64"/>
      <c r="JB24" s="64"/>
      <c r="JC24" s="64"/>
      <c r="JD24" s="64"/>
      <c r="JE24" s="64"/>
      <c r="JF24" s="64"/>
      <c r="JG24" s="64"/>
      <c r="JH24" s="64"/>
      <c r="JI24" s="64"/>
      <c r="JJ24" s="64"/>
      <c r="JK24" s="64"/>
      <c r="JL24" s="64"/>
      <c r="JM24" s="64"/>
      <c r="JN24" s="64"/>
      <c r="JO24" s="64"/>
      <c r="JP24" s="64"/>
      <c r="JQ24" s="64"/>
      <c r="JR24" s="64"/>
      <c r="JS24" s="64"/>
      <c r="JT24" s="64"/>
      <c r="JU24" s="64"/>
      <c r="JV24" s="64"/>
      <c r="JW24" s="64"/>
      <c r="JX24" s="64"/>
      <c r="JY24" s="64"/>
      <c r="JZ24" s="64"/>
      <c r="KA24" s="64"/>
      <c r="KB24" s="64"/>
      <c r="KC24" s="64"/>
      <c r="KD24" s="64"/>
      <c r="KE24" s="64"/>
      <c r="KF24" s="64"/>
      <c r="KG24" s="64"/>
      <c r="KH24" s="64"/>
      <c r="KI24" s="64"/>
      <c r="KJ24" s="64"/>
      <c r="KK24" s="64"/>
      <c r="KL24" s="64"/>
      <c r="KM24" s="64"/>
      <c r="KN24" s="64"/>
      <c r="KO24" s="64"/>
      <c r="KP24" s="64"/>
      <c r="KQ24" s="64"/>
      <c r="KR24" s="64"/>
      <c r="KS24" s="64"/>
      <c r="KT24" s="64"/>
      <c r="KU24" s="64"/>
      <c r="KV24" s="64"/>
      <c r="KW24" s="64"/>
      <c r="KX24" s="64"/>
      <c r="KY24" s="64"/>
      <c r="KZ24" s="64"/>
      <c r="LA24" s="64"/>
      <c r="LB24" s="64"/>
      <c r="LC24" s="64"/>
      <c r="LD24" s="64"/>
      <c r="LE24" s="64"/>
      <c r="LF24" s="64"/>
      <c r="LG24" s="64"/>
      <c r="LH24" s="64"/>
      <c r="LI24" s="64"/>
      <c r="LJ24" s="64"/>
      <c r="LK24" s="64"/>
      <c r="LL24" s="64"/>
      <c r="LM24" s="64"/>
      <c r="LN24" s="64"/>
      <c r="LO24" s="64"/>
      <c r="LP24" s="64"/>
      <c r="LQ24" s="64"/>
      <c r="LR24" s="64"/>
      <c r="LS24" s="64"/>
      <c r="LT24" s="64"/>
      <c r="LU24" s="64"/>
      <c r="LV24" s="64"/>
      <c r="LW24" s="64"/>
      <c r="LX24" s="64"/>
      <c r="LY24" s="64"/>
      <c r="LZ24" s="64"/>
      <c r="MA24" s="64"/>
      <c r="MB24" s="64"/>
      <c r="MC24" s="64"/>
      <c r="MD24" s="64"/>
      <c r="ME24" s="64"/>
      <c r="MF24" s="64"/>
      <c r="MG24" s="64"/>
      <c r="MH24" s="64"/>
      <c r="MI24" s="64"/>
      <c r="MJ24" s="64"/>
      <c r="MK24" s="64"/>
      <c r="ML24" s="64"/>
      <c r="MM24" s="64"/>
      <c r="MN24" s="64"/>
      <c r="MO24" s="64"/>
      <c r="MP24" s="64"/>
      <c r="MQ24" s="64"/>
      <c r="MR24" s="64"/>
      <c r="MS24" s="64"/>
      <c r="MT24" s="64"/>
      <c r="MU24" s="64"/>
      <c r="MV24" s="64"/>
      <c r="MW24" s="64"/>
      <c r="MX24" s="64"/>
      <c r="MY24" s="64"/>
      <c r="MZ24" s="64"/>
      <c r="NA24" s="64"/>
      <c r="NB24" s="64"/>
      <c r="NC24" s="64"/>
      <c r="ND24" s="64"/>
      <c r="NE24" s="64"/>
      <c r="NF24" s="64"/>
      <c r="NG24" s="64"/>
      <c r="NH24" s="64"/>
      <c r="NI24" s="64"/>
      <c r="NJ24" s="64"/>
      <c r="NK24" s="64"/>
      <c r="NL24" s="64"/>
      <c r="NM24" s="64"/>
      <c r="NN24" s="64"/>
      <c r="NO24" s="64"/>
      <c r="NP24" s="64"/>
      <c r="NQ24" s="64"/>
      <c r="NR24" s="64"/>
      <c r="NS24" s="64"/>
      <c r="NT24" s="64"/>
      <c r="NU24" s="64"/>
      <c r="NV24" s="64"/>
      <c r="NW24" s="64"/>
      <c r="NX24" s="64"/>
      <c r="NY24" s="64"/>
      <c r="NZ24" s="64"/>
      <c r="OA24" s="64"/>
      <c r="OB24" s="64"/>
      <c r="OC24" s="64"/>
      <c r="OD24" s="64"/>
      <c r="OE24" s="64"/>
      <c r="OF24" s="64"/>
      <c r="OG24" s="64"/>
      <c r="OH24" s="64"/>
      <c r="OI24" s="64"/>
      <c r="OJ24" s="64"/>
      <c r="OK24" s="64"/>
      <c r="OL24" s="64"/>
      <c r="OM24" s="64"/>
      <c r="ON24" s="64"/>
      <c r="OO24" s="64"/>
      <c r="OP24" s="64"/>
      <c r="OQ24" s="64"/>
      <c r="OR24" s="64"/>
      <c r="OS24" s="64"/>
      <c r="OT24" s="64"/>
      <c r="OU24" s="64"/>
      <c r="OV24" s="64"/>
      <c r="OW24" s="64"/>
      <c r="OX24" s="64"/>
      <c r="OY24" s="64"/>
      <c r="OZ24" s="64"/>
      <c r="PA24" s="64"/>
      <c r="PB24" s="64"/>
      <c r="PC24" s="64"/>
      <c r="PD24" s="64"/>
      <c r="PE24" s="64"/>
      <c r="PF24" s="64"/>
      <c r="PG24" s="64"/>
      <c r="PH24" s="64"/>
      <c r="PI24" s="64"/>
      <c r="PJ24" s="64"/>
      <c r="PK24" s="64"/>
      <c r="PL24" s="64"/>
      <c r="PM24" s="64"/>
      <c r="PN24" s="64"/>
      <c r="PO24" s="64"/>
      <c r="PP24" s="64"/>
      <c r="PQ24" s="64"/>
      <c r="PR24" s="64"/>
      <c r="PS24" s="64"/>
      <c r="PT24" s="64"/>
      <c r="PU24" s="64"/>
      <c r="PV24" s="64"/>
      <c r="PW24" s="64"/>
      <c r="PX24" s="64"/>
      <c r="PY24" s="64"/>
      <c r="PZ24" s="64"/>
      <c r="QA24" s="64"/>
      <c r="QB24" s="64"/>
      <c r="QC24" s="64"/>
      <c r="QD24" s="64"/>
      <c r="QE24" s="64"/>
      <c r="QF24" s="64"/>
      <c r="QG24" s="64"/>
      <c r="QH24" s="64"/>
      <c r="QI24" s="64"/>
      <c r="QJ24" s="64"/>
      <c r="QK24" s="64"/>
      <c r="QL24" s="64"/>
      <c r="QM24" s="64"/>
      <c r="QN24" s="64"/>
      <c r="QO24" s="64"/>
      <c r="QP24" s="64"/>
      <c r="QQ24" s="64"/>
      <c r="QR24" s="64"/>
      <c r="QS24" s="64"/>
      <c r="QT24" s="64"/>
      <c r="QU24" s="64"/>
      <c r="QV24" s="64"/>
      <c r="QW24" s="64"/>
      <c r="QX24" s="64"/>
      <c r="QY24" s="64"/>
      <c r="QZ24" s="64"/>
      <c r="RA24" s="64"/>
      <c r="RB24" s="64"/>
      <c r="RC24" s="64"/>
      <c r="RD24" s="64"/>
      <c r="RE24" s="64"/>
      <c r="RF24" s="64"/>
      <c r="RG24" s="64"/>
      <c r="RH24" s="64"/>
      <c r="RI24" s="64"/>
      <c r="RJ24" s="64"/>
      <c r="RK24" s="64"/>
      <c r="RL24" s="64"/>
      <c r="RM24" s="64"/>
      <c r="RN24" s="64"/>
      <c r="RO24" s="64"/>
      <c r="RP24" s="64"/>
      <c r="RQ24" s="64"/>
      <c r="RR24" s="64"/>
      <c r="RS24" s="64"/>
      <c r="RT24" s="64"/>
      <c r="RU24" s="64"/>
      <c r="RV24" s="64"/>
      <c r="RW24" s="64"/>
      <c r="RX24" s="64"/>
      <c r="RY24" s="64"/>
      <c r="RZ24" s="64"/>
      <c r="SA24" s="64"/>
      <c r="SB24" s="64"/>
      <c r="SC24" s="64"/>
      <c r="SD24" s="64"/>
      <c r="SE24" s="64"/>
      <c r="SF24" s="64"/>
      <c r="SG24" s="64"/>
      <c r="SH24" s="64"/>
      <c r="SI24" s="64"/>
      <c r="SJ24" s="64"/>
      <c r="SK24" s="64"/>
      <c r="SL24" s="64"/>
      <c r="SM24" s="64"/>
      <c r="SN24" s="64"/>
      <c r="SO24" s="64"/>
      <c r="SP24" s="64"/>
      <c r="SQ24" s="64"/>
      <c r="SR24" s="64"/>
      <c r="SS24" s="64"/>
      <c r="ST24" s="64"/>
      <c r="SU24" s="64"/>
      <c r="SV24" s="64"/>
      <c r="SW24" s="64"/>
      <c r="SX24" s="64"/>
      <c r="SY24" s="64"/>
      <c r="SZ24" s="64"/>
      <c r="TA24" s="64"/>
      <c r="TB24" s="64"/>
      <c r="TC24" s="64"/>
      <c r="TD24" s="64"/>
      <c r="TE24" s="64"/>
      <c r="TF24" s="64"/>
      <c r="TG24" s="64"/>
      <c r="TH24" s="64"/>
      <c r="TI24" s="64"/>
      <c r="TJ24" s="64"/>
      <c r="TK24" s="64"/>
      <c r="TL24" s="64"/>
      <c r="TM24" s="64"/>
      <c r="TN24" s="64"/>
      <c r="TO24" s="64"/>
      <c r="TP24" s="64"/>
      <c r="TQ24" s="64"/>
      <c r="TR24" s="64"/>
      <c r="TS24" s="64"/>
      <c r="TT24" s="64"/>
      <c r="TU24" s="64"/>
      <c r="TV24" s="64"/>
      <c r="TW24" s="64"/>
      <c r="TX24" s="64"/>
      <c r="TY24" s="64"/>
      <c r="TZ24" s="64"/>
      <c r="UA24" s="64"/>
      <c r="UB24" s="64"/>
      <c r="UC24" s="64"/>
      <c r="UD24" s="64"/>
      <c r="UE24" s="64"/>
      <c r="UF24" s="64"/>
      <c r="UG24" s="64"/>
      <c r="UH24" s="64"/>
      <c r="UI24" s="64"/>
      <c r="UJ24" s="64"/>
      <c r="UK24" s="64"/>
      <c r="UL24" s="64"/>
      <c r="UM24" s="64"/>
      <c r="UN24" s="64"/>
      <c r="UO24" s="64"/>
      <c r="UP24" s="64"/>
      <c r="UQ24" s="64"/>
      <c r="UR24" s="64"/>
      <c r="US24" s="64"/>
      <c r="UT24" s="64"/>
      <c r="UU24" s="64"/>
      <c r="UV24" s="64"/>
      <c r="UW24" s="64"/>
      <c r="UX24" s="64"/>
      <c r="UY24" s="64"/>
      <c r="UZ24" s="64"/>
      <c r="VA24" s="64"/>
      <c r="VB24" s="64"/>
      <c r="VC24" s="64"/>
      <c r="VD24" s="64"/>
      <c r="VE24" s="64"/>
      <c r="VF24" s="64"/>
      <c r="VG24" s="64"/>
      <c r="VH24" s="64"/>
      <c r="VI24" s="64"/>
      <c r="VJ24" s="64"/>
      <c r="VK24" s="64"/>
      <c r="VL24" s="64"/>
      <c r="VM24" s="64"/>
      <c r="VN24" s="64"/>
      <c r="VO24" s="64"/>
      <c r="VP24" s="64"/>
      <c r="VQ24" s="64"/>
      <c r="VR24" s="64"/>
      <c r="VS24" s="64"/>
      <c r="VT24" s="64"/>
      <c r="VU24" s="64"/>
      <c r="VV24" s="64"/>
      <c r="VW24" s="64"/>
      <c r="VX24" s="64"/>
      <c r="VY24" s="64"/>
      <c r="VZ24" s="64"/>
      <c r="WA24" s="64"/>
      <c r="WB24" s="64"/>
      <c r="WC24" s="64"/>
      <c r="WD24" s="64"/>
      <c r="WE24" s="64"/>
      <c r="WF24" s="64"/>
      <c r="WG24" s="64"/>
      <c r="WH24" s="64"/>
      <c r="WI24" s="64"/>
      <c r="WJ24" s="64"/>
      <c r="WK24" s="64"/>
      <c r="WL24" s="64"/>
      <c r="WM24" s="64"/>
      <c r="WN24" s="64"/>
      <c r="WO24" s="64"/>
      <c r="WP24" s="64"/>
      <c r="WQ24" s="64"/>
      <c r="WR24" s="64"/>
      <c r="WS24" s="64"/>
      <c r="WT24" s="64"/>
      <c r="WU24" s="64"/>
      <c r="WV24" s="64"/>
      <c r="WW24" s="64"/>
      <c r="WX24" s="64"/>
      <c r="WY24" s="64"/>
      <c r="WZ24" s="64"/>
      <c r="XA24" s="64"/>
      <c r="XB24" s="64"/>
      <c r="XC24" s="64"/>
      <c r="XD24" s="64"/>
      <c r="XE24" s="64"/>
      <c r="XF24" s="64"/>
      <c r="XG24" s="64"/>
      <c r="XH24" s="64"/>
      <c r="XI24" s="64"/>
      <c r="XJ24" s="64"/>
      <c r="XK24" s="64"/>
      <c r="XL24" s="64"/>
      <c r="XM24" s="64"/>
      <c r="XN24" s="64"/>
      <c r="XO24" s="64"/>
      <c r="XP24" s="64"/>
      <c r="XQ24" s="64"/>
      <c r="XR24" s="64"/>
      <c r="XS24" s="64"/>
      <c r="XT24" s="64"/>
      <c r="XU24" s="64"/>
      <c r="XV24" s="64"/>
      <c r="XW24" s="64"/>
      <c r="XX24" s="64"/>
      <c r="XY24" s="64"/>
      <c r="XZ24" s="64"/>
      <c r="YA24" s="64"/>
      <c r="YB24" s="64"/>
      <c r="YC24" s="64"/>
      <c r="YD24" s="64"/>
      <c r="YE24" s="64"/>
      <c r="YF24" s="64"/>
      <c r="YG24" s="64"/>
      <c r="YH24" s="64"/>
      <c r="YI24" s="64"/>
      <c r="YJ24" s="64"/>
      <c r="YK24" s="64"/>
      <c r="YL24" s="64"/>
      <c r="YM24" s="64"/>
      <c r="YN24" s="64"/>
      <c r="YO24" s="64"/>
      <c r="YP24" s="64"/>
      <c r="YQ24" s="64"/>
      <c r="YR24" s="64"/>
      <c r="YS24" s="64"/>
      <c r="YT24" s="64"/>
      <c r="YU24" s="64"/>
      <c r="YV24" s="64"/>
      <c r="YW24" s="64"/>
      <c r="YX24" s="64"/>
      <c r="YY24" s="64"/>
      <c r="YZ24" s="64"/>
      <c r="ZA24" s="64"/>
    </row>
    <row r="25" customFormat="false" ht="15" hidden="false" customHeight="false" outlineLevel="0" collapsed="false">
      <c r="A25" s="54"/>
      <c r="B25" s="47" t="str">
        <f aca="false">'Адреси Контакти'!A5</f>
        <v>Область (України)</v>
      </c>
      <c r="C25" s="56" t="str">
        <f aca="false">IF('Адреси Контакти'!B5 = 0, "", 'Адреси Контакти'!B5)</f>
        <v/>
      </c>
      <c r="D25" s="56"/>
      <c r="O25" s="58"/>
      <c r="P25" s="30" t="s">
        <v>44</v>
      </c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/>
      <c r="HD25" s="64"/>
      <c r="HE25" s="64"/>
      <c r="HF25" s="64"/>
      <c r="HG25" s="64"/>
      <c r="HH25" s="64"/>
      <c r="HI25" s="64"/>
      <c r="HJ25" s="64"/>
      <c r="HK25" s="64"/>
      <c r="HL25" s="64"/>
      <c r="HM25" s="64"/>
      <c r="HN25" s="64"/>
      <c r="HO25" s="64"/>
      <c r="HP25" s="64"/>
      <c r="HQ25" s="64"/>
      <c r="HR25" s="64"/>
      <c r="HS25" s="64"/>
      <c r="HT25" s="64"/>
      <c r="HU25" s="64"/>
      <c r="HV25" s="64"/>
      <c r="HW25" s="64"/>
      <c r="HX25" s="64"/>
      <c r="HY25" s="64"/>
      <c r="HZ25" s="64"/>
      <c r="IA25" s="64"/>
      <c r="IB25" s="64"/>
      <c r="IC25" s="64"/>
      <c r="ID25" s="64"/>
      <c r="IE25" s="64"/>
      <c r="IF25" s="64"/>
      <c r="IG25" s="64"/>
      <c r="IH25" s="64"/>
      <c r="II25" s="64"/>
      <c r="IJ25" s="64"/>
      <c r="IK25" s="64"/>
      <c r="IL25" s="64"/>
      <c r="IM25" s="64"/>
      <c r="IN25" s="64"/>
      <c r="IO25" s="64"/>
      <c r="IP25" s="64"/>
      <c r="IQ25" s="64"/>
      <c r="IR25" s="64"/>
      <c r="IS25" s="64"/>
      <c r="IT25" s="64"/>
      <c r="IU25" s="64"/>
      <c r="IV25" s="64"/>
      <c r="IW25" s="64"/>
      <c r="IX25" s="64"/>
      <c r="IY25" s="64"/>
      <c r="IZ25" s="64"/>
      <c r="JA25" s="64"/>
      <c r="JB25" s="64"/>
      <c r="JC25" s="64"/>
      <c r="JD25" s="64"/>
      <c r="JE25" s="64"/>
      <c r="JF25" s="64"/>
      <c r="JG25" s="64"/>
      <c r="JH25" s="64"/>
      <c r="JI25" s="64"/>
      <c r="JJ25" s="64"/>
      <c r="JK25" s="64"/>
      <c r="JL25" s="64"/>
      <c r="JM25" s="64"/>
      <c r="JN25" s="64"/>
      <c r="JO25" s="64"/>
      <c r="JP25" s="64"/>
      <c r="JQ25" s="64"/>
      <c r="JR25" s="64"/>
      <c r="JS25" s="64"/>
      <c r="JT25" s="64"/>
      <c r="JU25" s="64"/>
      <c r="JV25" s="64"/>
      <c r="JW25" s="64"/>
      <c r="JX25" s="64"/>
      <c r="JY25" s="64"/>
      <c r="JZ25" s="64"/>
      <c r="KA25" s="64"/>
      <c r="KB25" s="64"/>
      <c r="KC25" s="64"/>
      <c r="KD25" s="64"/>
      <c r="KE25" s="64"/>
      <c r="KF25" s="64"/>
      <c r="KG25" s="64"/>
      <c r="KH25" s="64"/>
      <c r="KI25" s="64"/>
      <c r="KJ25" s="64"/>
      <c r="KK25" s="64"/>
      <c r="KL25" s="64"/>
      <c r="KM25" s="64"/>
      <c r="KN25" s="64"/>
      <c r="KO25" s="64"/>
      <c r="KP25" s="64"/>
      <c r="KQ25" s="64"/>
      <c r="KR25" s="64"/>
      <c r="KS25" s="64"/>
      <c r="KT25" s="64"/>
      <c r="KU25" s="64"/>
      <c r="KV25" s="64"/>
      <c r="KW25" s="64"/>
      <c r="KX25" s="64"/>
      <c r="KY25" s="64"/>
      <c r="KZ25" s="64"/>
      <c r="LA25" s="64"/>
      <c r="LB25" s="64"/>
      <c r="LC25" s="64"/>
      <c r="LD25" s="64"/>
      <c r="LE25" s="64"/>
      <c r="LF25" s="64"/>
      <c r="LG25" s="64"/>
      <c r="LH25" s="64"/>
      <c r="LI25" s="64"/>
      <c r="LJ25" s="64"/>
      <c r="LK25" s="64"/>
      <c r="LL25" s="64"/>
      <c r="LM25" s="64"/>
      <c r="LN25" s="64"/>
      <c r="LO25" s="64"/>
      <c r="LP25" s="64"/>
      <c r="LQ25" s="64"/>
      <c r="LR25" s="64"/>
      <c r="LS25" s="64"/>
      <c r="LT25" s="64"/>
      <c r="LU25" s="64"/>
      <c r="LV25" s="64"/>
      <c r="LW25" s="64"/>
      <c r="LX25" s="64"/>
      <c r="LY25" s="64"/>
      <c r="LZ25" s="64"/>
      <c r="MA25" s="64"/>
      <c r="MB25" s="64"/>
      <c r="MC25" s="64"/>
      <c r="MD25" s="64"/>
      <c r="ME25" s="64"/>
      <c r="MF25" s="64"/>
      <c r="MG25" s="64"/>
      <c r="MH25" s="64"/>
      <c r="MI25" s="64"/>
      <c r="MJ25" s="64"/>
      <c r="MK25" s="64"/>
      <c r="ML25" s="64"/>
      <c r="MM25" s="64"/>
      <c r="MN25" s="64"/>
      <c r="MO25" s="64"/>
      <c r="MP25" s="64"/>
      <c r="MQ25" s="64"/>
      <c r="MR25" s="64"/>
      <c r="MS25" s="64"/>
      <c r="MT25" s="64"/>
      <c r="MU25" s="64"/>
      <c r="MV25" s="64"/>
      <c r="MW25" s="64"/>
      <c r="MX25" s="64"/>
      <c r="MY25" s="64"/>
      <c r="MZ25" s="64"/>
      <c r="NA25" s="64"/>
      <c r="NB25" s="64"/>
      <c r="NC25" s="64"/>
      <c r="ND25" s="64"/>
      <c r="NE25" s="64"/>
      <c r="NF25" s="64"/>
      <c r="NG25" s="64"/>
      <c r="NH25" s="64"/>
      <c r="NI25" s="64"/>
      <c r="NJ25" s="64"/>
      <c r="NK25" s="64"/>
      <c r="NL25" s="64"/>
      <c r="NM25" s="64"/>
      <c r="NN25" s="64"/>
      <c r="NO25" s="64"/>
      <c r="NP25" s="64"/>
      <c r="NQ25" s="64"/>
      <c r="NR25" s="64"/>
      <c r="NS25" s="64"/>
      <c r="NT25" s="64"/>
      <c r="NU25" s="64"/>
      <c r="NV25" s="64"/>
      <c r="NW25" s="64"/>
      <c r="NX25" s="64"/>
      <c r="NY25" s="64"/>
      <c r="NZ25" s="64"/>
      <c r="OA25" s="64"/>
      <c r="OB25" s="64"/>
      <c r="OC25" s="64"/>
      <c r="OD25" s="64"/>
      <c r="OE25" s="64"/>
      <c r="OF25" s="64"/>
      <c r="OG25" s="64"/>
      <c r="OH25" s="64"/>
      <c r="OI25" s="64"/>
      <c r="OJ25" s="64"/>
      <c r="OK25" s="64"/>
      <c r="OL25" s="64"/>
      <c r="OM25" s="64"/>
      <c r="ON25" s="64"/>
      <c r="OO25" s="64"/>
      <c r="OP25" s="64"/>
      <c r="OQ25" s="64"/>
      <c r="OR25" s="64"/>
      <c r="OS25" s="64"/>
      <c r="OT25" s="64"/>
      <c r="OU25" s="64"/>
      <c r="OV25" s="64"/>
      <c r="OW25" s="64"/>
      <c r="OX25" s="64"/>
      <c r="OY25" s="64"/>
      <c r="OZ25" s="64"/>
      <c r="PA25" s="64"/>
      <c r="PB25" s="64"/>
      <c r="PC25" s="64"/>
      <c r="PD25" s="64"/>
      <c r="PE25" s="64"/>
      <c r="PF25" s="64"/>
      <c r="PG25" s="64"/>
      <c r="PH25" s="64"/>
      <c r="PI25" s="64"/>
      <c r="PJ25" s="64"/>
      <c r="PK25" s="64"/>
      <c r="PL25" s="64"/>
      <c r="PM25" s="64"/>
      <c r="PN25" s="64"/>
      <c r="PO25" s="64"/>
      <c r="PP25" s="64"/>
      <c r="PQ25" s="64"/>
      <c r="PR25" s="64"/>
      <c r="PS25" s="64"/>
      <c r="PT25" s="64"/>
      <c r="PU25" s="64"/>
      <c r="PV25" s="64"/>
      <c r="PW25" s="64"/>
      <c r="PX25" s="64"/>
      <c r="PY25" s="64"/>
      <c r="PZ25" s="64"/>
      <c r="QA25" s="64"/>
      <c r="QB25" s="64"/>
      <c r="QC25" s="64"/>
      <c r="QD25" s="64"/>
      <c r="QE25" s="64"/>
      <c r="QF25" s="64"/>
      <c r="QG25" s="64"/>
      <c r="QH25" s="64"/>
      <c r="QI25" s="64"/>
      <c r="QJ25" s="64"/>
      <c r="QK25" s="64"/>
      <c r="QL25" s="64"/>
      <c r="QM25" s="64"/>
      <c r="QN25" s="64"/>
      <c r="QO25" s="64"/>
      <c r="QP25" s="64"/>
      <c r="QQ25" s="64"/>
      <c r="QR25" s="64"/>
      <c r="QS25" s="64"/>
      <c r="QT25" s="64"/>
      <c r="QU25" s="64"/>
      <c r="QV25" s="64"/>
      <c r="QW25" s="64"/>
      <c r="QX25" s="64"/>
      <c r="QY25" s="64"/>
      <c r="QZ25" s="64"/>
      <c r="RA25" s="64"/>
      <c r="RB25" s="64"/>
      <c r="RC25" s="64"/>
      <c r="RD25" s="64"/>
      <c r="RE25" s="64"/>
      <c r="RF25" s="64"/>
      <c r="RG25" s="64"/>
      <c r="RH25" s="64"/>
      <c r="RI25" s="64"/>
      <c r="RJ25" s="64"/>
      <c r="RK25" s="64"/>
      <c r="RL25" s="64"/>
      <c r="RM25" s="64"/>
      <c r="RN25" s="64"/>
      <c r="RO25" s="64"/>
      <c r="RP25" s="64"/>
      <c r="RQ25" s="64"/>
      <c r="RR25" s="64"/>
      <c r="RS25" s="64"/>
      <c r="RT25" s="64"/>
      <c r="RU25" s="64"/>
      <c r="RV25" s="64"/>
      <c r="RW25" s="64"/>
      <c r="RX25" s="64"/>
      <c r="RY25" s="64"/>
      <c r="RZ25" s="64"/>
      <c r="SA25" s="64"/>
      <c r="SB25" s="64"/>
      <c r="SC25" s="64"/>
      <c r="SD25" s="64"/>
      <c r="SE25" s="64"/>
      <c r="SF25" s="64"/>
      <c r="SG25" s="64"/>
      <c r="SH25" s="64"/>
      <c r="SI25" s="64"/>
      <c r="SJ25" s="64"/>
      <c r="SK25" s="64"/>
      <c r="SL25" s="64"/>
      <c r="SM25" s="64"/>
      <c r="SN25" s="64"/>
      <c r="SO25" s="64"/>
      <c r="SP25" s="64"/>
      <c r="SQ25" s="64"/>
      <c r="SR25" s="64"/>
      <c r="SS25" s="64"/>
      <c r="ST25" s="64"/>
      <c r="SU25" s="64"/>
      <c r="SV25" s="64"/>
      <c r="SW25" s="64"/>
      <c r="SX25" s="64"/>
      <c r="SY25" s="64"/>
      <c r="SZ25" s="64"/>
      <c r="TA25" s="64"/>
      <c r="TB25" s="64"/>
      <c r="TC25" s="64"/>
      <c r="TD25" s="64"/>
      <c r="TE25" s="64"/>
      <c r="TF25" s="64"/>
      <c r="TG25" s="64"/>
      <c r="TH25" s="64"/>
      <c r="TI25" s="64"/>
      <c r="TJ25" s="64"/>
      <c r="TK25" s="64"/>
      <c r="TL25" s="64"/>
      <c r="TM25" s="64"/>
      <c r="TN25" s="64"/>
      <c r="TO25" s="64"/>
      <c r="TP25" s="64"/>
      <c r="TQ25" s="64"/>
      <c r="TR25" s="64"/>
      <c r="TS25" s="64"/>
      <c r="TT25" s="64"/>
      <c r="TU25" s="64"/>
      <c r="TV25" s="64"/>
      <c r="TW25" s="64"/>
      <c r="TX25" s="64"/>
      <c r="TY25" s="64"/>
      <c r="TZ25" s="64"/>
      <c r="UA25" s="64"/>
      <c r="UB25" s="64"/>
      <c r="UC25" s="64"/>
      <c r="UD25" s="64"/>
      <c r="UE25" s="64"/>
      <c r="UF25" s="64"/>
      <c r="UG25" s="64"/>
      <c r="UH25" s="64"/>
      <c r="UI25" s="64"/>
      <c r="UJ25" s="64"/>
      <c r="UK25" s="64"/>
      <c r="UL25" s="64"/>
      <c r="UM25" s="64"/>
      <c r="UN25" s="64"/>
      <c r="UO25" s="64"/>
      <c r="UP25" s="64"/>
      <c r="UQ25" s="64"/>
      <c r="UR25" s="64"/>
      <c r="US25" s="64"/>
      <c r="UT25" s="64"/>
      <c r="UU25" s="64"/>
      <c r="UV25" s="64"/>
      <c r="UW25" s="64"/>
      <c r="UX25" s="64"/>
      <c r="UY25" s="64"/>
      <c r="UZ25" s="64"/>
      <c r="VA25" s="64"/>
      <c r="VB25" s="64"/>
      <c r="VC25" s="64"/>
      <c r="VD25" s="64"/>
      <c r="VE25" s="64"/>
      <c r="VF25" s="64"/>
      <c r="VG25" s="64"/>
      <c r="VH25" s="64"/>
      <c r="VI25" s="64"/>
      <c r="VJ25" s="64"/>
      <c r="VK25" s="64"/>
      <c r="VL25" s="64"/>
      <c r="VM25" s="64"/>
      <c r="VN25" s="64"/>
      <c r="VO25" s="64"/>
      <c r="VP25" s="64"/>
      <c r="VQ25" s="64"/>
      <c r="VR25" s="64"/>
      <c r="VS25" s="64"/>
      <c r="VT25" s="64"/>
      <c r="VU25" s="64"/>
      <c r="VV25" s="64"/>
      <c r="VW25" s="64"/>
      <c r="VX25" s="64"/>
      <c r="VY25" s="64"/>
      <c r="VZ25" s="64"/>
      <c r="WA25" s="64"/>
      <c r="WB25" s="64"/>
      <c r="WC25" s="64"/>
      <c r="WD25" s="64"/>
      <c r="WE25" s="64"/>
      <c r="WF25" s="64"/>
      <c r="WG25" s="64"/>
      <c r="WH25" s="64"/>
      <c r="WI25" s="64"/>
      <c r="WJ25" s="64"/>
      <c r="WK25" s="64"/>
      <c r="WL25" s="64"/>
      <c r="WM25" s="64"/>
      <c r="WN25" s="64"/>
      <c r="WO25" s="64"/>
      <c r="WP25" s="64"/>
      <c r="WQ25" s="64"/>
      <c r="WR25" s="64"/>
      <c r="WS25" s="64"/>
      <c r="WT25" s="64"/>
      <c r="WU25" s="64"/>
      <c r="WV25" s="64"/>
      <c r="WW25" s="64"/>
      <c r="WX25" s="64"/>
      <c r="WY25" s="64"/>
      <c r="WZ25" s="64"/>
      <c r="XA25" s="64"/>
      <c r="XB25" s="64"/>
      <c r="XC25" s="64"/>
      <c r="XD25" s="64"/>
      <c r="XE25" s="64"/>
      <c r="XF25" s="64"/>
      <c r="XG25" s="64"/>
      <c r="XH25" s="64"/>
      <c r="XI25" s="64"/>
      <c r="XJ25" s="64"/>
      <c r="XK25" s="64"/>
      <c r="XL25" s="64"/>
      <c r="XM25" s="64"/>
      <c r="XN25" s="64"/>
      <c r="XO25" s="64"/>
      <c r="XP25" s="64"/>
      <c r="XQ25" s="64"/>
      <c r="XR25" s="64"/>
      <c r="XS25" s="64"/>
      <c r="XT25" s="64"/>
      <c r="XU25" s="64"/>
      <c r="XV25" s="64"/>
      <c r="XW25" s="64"/>
      <c r="XX25" s="64"/>
      <c r="XY25" s="64"/>
      <c r="XZ25" s="64"/>
      <c r="YA25" s="64"/>
      <c r="YB25" s="64"/>
      <c r="YC25" s="64"/>
      <c r="YD25" s="64"/>
      <c r="YE25" s="64"/>
      <c r="YF25" s="64"/>
      <c r="YG25" s="64"/>
      <c r="YH25" s="64"/>
      <c r="YI25" s="64"/>
      <c r="YJ25" s="64"/>
      <c r="YK25" s="64"/>
      <c r="YL25" s="64"/>
      <c r="YM25" s="64"/>
      <c r="YN25" s="64"/>
      <c r="YO25" s="64"/>
      <c r="YP25" s="64"/>
      <c r="YQ25" s="64"/>
      <c r="YR25" s="64"/>
      <c r="YS25" s="64"/>
      <c r="YT25" s="64"/>
      <c r="YU25" s="64"/>
      <c r="YV25" s="64"/>
      <c r="YW25" s="64"/>
      <c r="YX25" s="64"/>
      <c r="YY25" s="64"/>
      <c r="YZ25" s="64"/>
      <c r="ZA25" s="64"/>
    </row>
    <row r="26" customFormat="false" ht="15" hidden="false" customHeight="false" outlineLevel="0" collapsed="false">
      <c r="A26" s="54"/>
      <c r="B26" s="47" t="str">
        <f aca="false">'Адреси Контакти'!A6</f>
        <v>Місто</v>
      </c>
      <c r="C26" s="56" t="str">
        <f aca="false">IF('Адреси Контакти'!B6 = 0, "", 'Адреси Контакти'!B6)</f>
        <v/>
      </c>
      <c r="D26" s="56"/>
      <c r="O26" s="58"/>
      <c r="P26" s="25" t="s">
        <v>156</v>
      </c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  <c r="HU26" s="64"/>
      <c r="HV26" s="64"/>
      <c r="HW26" s="64"/>
      <c r="HX26" s="64"/>
      <c r="HY26" s="64"/>
      <c r="HZ26" s="64"/>
      <c r="IA26" s="64"/>
      <c r="IB26" s="64"/>
      <c r="IC26" s="64"/>
      <c r="ID26" s="64"/>
      <c r="IE26" s="64"/>
      <c r="IF26" s="64"/>
      <c r="IG26" s="64"/>
      <c r="IH26" s="64"/>
      <c r="II26" s="64"/>
      <c r="IJ26" s="64"/>
      <c r="IK26" s="64"/>
      <c r="IL26" s="64"/>
      <c r="IM26" s="64"/>
      <c r="IN26" s="64"/>
      <c r="IO26" s="64"/>
      <c r="IP26" s="64"/>
      <c r="IQ26" s="64"/>
      <c r="IR26" s="64"/>
      <c r="IS26" s="64"/>
      <c r="IT26" s="64"/>
      <c r="IU26" s="64"/>
      <c r="IV26" s="64"/>
      <c r="IW26" s="64"/>
      <c r="IX26" s="64"/>
      <c r="IY26" s="64"/>
      <c r="IZ26" s="64"/>
      <c r="JA26" s="64"/>
      <c r="JB26" s="64"/>
      <c r="JC26" s="64"/>
      <c r="JD26" s="64"/>
      <c r="JE26" s="64"/>
      <c r="JF26" s="64"/>
      <c r="JG26" s="64"/>
      <c r="JH26" s="64"/>
      <c r="JI26" s="64"/>
      <c r="JJ26" s="64"/>
      <c r="JK26" s="64"/>
      <c r="JL26" s="64"/>
      <c r="JM26" s="64"/>
      <c r="JN26" s="64"/>
      <c r="JO26" s="64"/>
      <c r="JP26" s="64"/>
      <c r="JQ26" s="64"/>
      <c r="JR26" s="64"/>
      <c r="JS26" s="64"/>
      <c r="JT26" s="64"/>
      <c r="JU26" s="64"/>
      <c r="JV26" s="64"/>
      <c r="JW26" s="64"/>
      <c r="JX26" s="64"/>
      <c r="JY26" s="64"/>
      <c r="JZ26" s="64"/>
      <c r="KA26" s="64"/>
      <c r="KB26" s="64"/>
      <c r="KC26" s="64"/>
      <c r="KD26" s="64"/>
      <c r="KE26" s="64"/>
      <c r="KF26" s="64"/>
      <c r="KG26" s="64"/>
      <c r="KH26" s="64"/>
      <c r="KI26" s="64"/>
      <c r="KJ26" s="64"/>
      <c r="KK26" s="64"/>
      <c r="KL26" s="64"/>
      <c r="KM26" s="64"/>
      <c r="KN26" s="64"/>
      <c r="KO26" s="64"/>
      <c r="KP26" s="64"/>
      <c r="KQ26" s="64"/>
      <c r="KR26" s="64"/>
      <c r="KS26" s="64"/>
      <c r="KT26" s="64"/>
      <c r="KU26" s="64"/>
      <c r="KV26" s="64"/>
      <c r="KW26" s="64"/>
      <c r="KX26" s="64"/>
      <c r="KY26" s="64"/>
      <c r="KZ26" s="64"/>
      <c r="LA26" s="64"/>
      <c r="LB26" s="64"/>
      <c r="LC26" s="64"/>
      <c r="LD26" s="64"/>
      <c r="LE26" s="64"/>
      <c r="LF26" s="64"/>
      <c r="LG26" s="64"/>
      <c r="LH26" s="64"/>
      <c r="LI26" s="64"/>
      <c r="LJ26" s="64"/>
      <c r="LK26" s="64"/>
      <c r="LL26" s="64"/>
      <c r="LM26" s="64"/>
      <c r="LN26" s="64"/>
      <c r="LO26" s="64"/>
      <c r="LP26" s="64"/>
      <c r="LQ26" s="64"/>
      <c r="LR26" s="64"/>
      <c r="LS26" s="64"/>
      <c r="LT26" s="64"/>
      <c r="LU26" s="64"/>
      <c r="LV26" s="64"/>
      <c r="LW26" s="64"/>
      <c r="LX26" s="64"/>
      <c r="LY26" s="64"/>
      <c r="LZ26" s="64"/>
      <c r="MA26" s="64"/>
      <c r="MB26" s="64"/>
      <c r="MC26" s="64"/>
      <c r="MD26" s="64"/>
      <c r="ME26" s="64"/>
      <c r="MF26" s="64"/>
      <c r="MG26" s="64"/>
      <c r="MH26" s="64"/>
      <c r="MI26" s="64"/>
      <c r="MJ26" s="64"/>
      <c r="MK26" s="64"/>
      <c r="ML26" s="64"/>
      <c r="MM26" s="64"/>
      <c r="MN26" s="64"/>
      <c r="MO26" s="64"/>
      <c r="MP26" s="64"/>
      <c r="MQ26" s="64"/>
      <c r="MR26" s="64"/>
      <c r="MS26" s="64"/>
      <c r="MT26" s="64"/>
      <c r="MU26" s="64"/>
      <c r="MV26" s="64"/>
      <c r="MW26" s="64"/>
      <c r="MX26" s="64"/>
      <c r="MY26" s="64"/>
      <c r="MZ26" s="64"/>
      <c r="NA26" s="64"/>
      <c r="NB26" s="64"/>
      <c r="NC26" s="64"/>
      <c r="ND26" s="64"/>
      <c r="NE26" s="64"/>
      <c r="NF26" s="64"/>
      <c r="NG26" s="64"/>
      <c r="NH26" s="64"/>
      <c r="NI26" s="64"/>
      <c r="NJ26" s="64"/>
      <c r="NK26" s="64"/>
      <c r="NL26" s="64"/>
      <c r="NM26" s="64"/>
      <c r="NN26" s="64"/>
      <c r="NO26" s="64"/>
      <c r="NP26" s="64"/>
      <c r="NQ26" s="64"/>
      <c r="NR26" s="64"/>
      <c r="NS26" s="64"/>
      <c r="NT26" s="64"/>
      <c r="NU26" s="64"/>
      <c r="NV26" s="64"/>
      <c r="NW26" s="64"/>
      <c r="NX26" s="64"/>
      <c r="NY26" s="64"/>
      <c r="NZ26" s="64"/>
      <c r="OA26" s="64"/>
      <c r="OB26" s="64"/>
      <c r="OC26" s="64"/>
      <c r="OD26" s="64"/>
      <c r="OE26" s="64"/>
      <c r="OF26" s="64"/>
      <c r="OG26" s="64"/>
      <c r="OH26" s="64"/>
      <c r="OI26" s="64"/>
      <c r="OJ26" s="64"/>
      <c r="OK26" s="64"/>
      <c r="OL26" s="64"/>
      <c r="OM26" s="64"/>
      <c r="ON26" s="64"/>
      <c r="OO26" s="64"/>
      <c r="OP26" s="64"/>
      <c r="OQ26" s="64"/>
      <c r="OR26" s="64"/>
      <c r="OS26" s="64"/>
      <c r="OT26" s="64"/>
      <c r="OU26" s="64"/>
      <c r="OV26" s="64"/>
      <c r="OW26" s="64"/>
      <c r="OX26" s="64"/>
      <c r="OY26" s="64"/>
      <c r="OZ26" s="64"/>
      <c r="PA26" s="64"/>
      <c r="PB26" s="64"/>
      <c r="PC26" s="64"/>
      <c r="PD26" s="64"/>
      <c r="PE26" s="64"/>
      <c r="PF26" s="64"/>
      <c r="PG26" s="64"/>
      <c r="PH26" s="64"/>
      <c r="PI26" s="64"/>
      <c r="PJ26" s="64"/>
      <c r="PK26" s="64"/>
      <c r="PL26" s="64"/>
      <c r="PM26" s="64"/>
      <c r="PN26" s="64"/>
      <c r="PO26" s="64"/>
      <c r="PP26" s="64"/>
      <c r="PQ26" s="64"/>
      <c r="PR26" s="64"/>
      <c r="PS26" s="64"/>
      <c r="PT26" s="64"/>
      <c r="PU26" s="64"/>
      <c r="PV26" s="64"/>
      <c r="PW26" s="64"/>
      <c r="PX26" s="64"/>
      <c r="PY26" s="64"/>
      <c r="PZ26" s="64"/>
      <c r="QA26" s="64"/>
      <c r="QB26" s="64"/>
      <c r="QC26" s="64"/>
      <c r="QD26" s="64"/>
      <c r="QE26" s="64"/>
      <c r="QF26" s="64"/>
      <c r="QG26" s="64"/>
      <c r="QH26" s="64"/>
      <c r="QI26" s="64"/>
      <c r="QJ26" s="64"/>
      <c r="QK26" s="64"/>
      <c r="QL26" s="64"/>
      <c r="QM26" s="64"/>
      <c r="QN26" s="64"/>
      <c r="QO26" s="64"/>
      <c r="QP26" s="64"/>
      <c r="QQ26" s="64"/>
      <c r="QR26" s="64"/>
      <c r="QS26" s="64"/>
      <c r="QT26" s="64"/>
      <c r="QU26" s="64"/>
      <c r="QV26" s="64"/>
      <c r="QW26" s="64"/>
      <c r="QX26" s="64"/>
      <c r="QY26" s="64"/>
      <c r="QZ26" s="64"/>
      <c r="RA26" s="64"/>
      <c r="RB26" s="64"/>
      <c r="RC26" s="64"/>
      <c r="RD26" s="64"/>
      <c r="RE26" s="64"/>
      <c r="RF26" s="64"/>
      <c r="RG26" s="64"/>
      <c r="RH26" s="64"/>
      <c r="RI26" s="64"/>
      <c r="RJ26" s="64"/>
      <c r="RK26" s="64"/>
      <c r="RL26" s="64"/>
      <c r="RM26" s="64"/>
      <c r="RN26" s="64"/>
      <c r="RO26" s="64"/>
      <c r="RP26" s="64"/>
      <c r="RQ26" s="64"/>
      <c r="RR26" s="64"/>
      <c r="RS26" s="64"/>
      <c r="RT26" s="64"/>
      <c r="RU26" s="64"/>
      <c r="RV26" s="64"/>
      <c r="RW26" s="64"/>
      <c r="RX26" s="64"/>
      <c r="RY26" s="64"/>
      <c r="RZ26" s="64"/>
      <c r="SA26" s="64"/>
      <c r="SB26" s="64"/>
      <c r="SC26" s="64"/>
      <c r="SD26" s="64"/>
      <c r="SE26" s="64"/>
      <c r="SF26" s="64"/>
      <c r="SG26" s="64"/>
      <c r="SH26" s="64"/>
      <c r="SI26" s="64"/>
      <c r="SJ26" s="64"/>
      <c r="SK26" s="64"/>
      <c r="SL26" s="64"/>
      <c r="SM26" s="64"/>
      <c r="SN26" s="64"/>
      <c r="SO26" s="64"/>
      <c r="SP26" s="64"/>
      <c r="SQ26" s="64"/>
      <c r="SR26" s="64"/>
      <c r="SS26" s="64"/>
      <c r="ST26" s="64"/>
      <c r="SU26" s="64"/>
      <c r="SV26" s="64"/>
      <c r="SW26" s="64"/>
      <c r="SX26" s="64"/>
      <c r="SY26" s="64"/>
      <c r="SZ26" s="64"/>
      <c r="TA26" s="64"/>
      <c r="TB26" s="64"/>
      <c r="TC26" s="64"/>
      <c r="TD26" s="64"/>
      <c r="TE26" s="64"/>
      <c r="TF26" s="64"/>
      <c r="TG26" s="64"/>
      <c r="TH26" s="64"/>
      <c r="TI26" s="64"/>
      <c r="TJ26" s="64"/>
      <c r="TK26" s="64"/>
      <c r="TL26" s="64"/>
      <c r="TM26" s="64"/>
      <c r="TN26" s="64"/>
      <c r="TO26" s="64"/>
      <c r="TP26" s="64"/>
      <c r="TQ26" s="64"/>
      <c r="TR26" s="64"/>
      <c r="TS26" s="64"/>
      <c r="TT26" s="64"/>
      <c r="TU26" s="64"/>
      <c r="TV26" s="64"/>
      <c r="TW26" s="64"/>
      <c r="TX26" s="64"/>
      <c r="TY26" s="64"/>
      <c r="TZ26" s="64"/>
      <c r="UA26" s="64"/>
      <c r="UB26" s="64"/>
      <c r="UC26" s="64"/>
      <c r="UD26" s="64"/>
      <c r="UE26" s="64"/>
      <c r="UF26" s="64"/>
      <c r="UG26" s="64"/>
      <c r="UH26" s="64"/>
      <c r="UI26" s="64"/>
      <c r="UJ26" s="64"/>
      <c r="UK26" s="64"/>
      <c r="UL26" s="64"/>
      <c r="UM26" s="64"/>
      <c r="UN26" s="64"/>
      <c r="UO26" s="64"/>
      <c r="UP26" s="64"/>
      <c r="UQ26" s="64"/>
      <c r="UR26" s="64"/>
      <c r="US26" s="64"/>
      <c r="UT26" s="64"/>
      <c r="UU26" s="64"/>
      <c r="UV26" s="64"/>
      <c r="UW26" s="64"/>
      <c r="UX26" s="64"/>
      <c r="UY26" s="64"/>
      <c r="UZ26" s="64"/>
      <c r="VA26" s="64"/>
      <c r="VB26" s="64"/>
      <c r="VC26" s="64"/>
      <c r="VD26" s="64"/>
      <c r="VE26" s="64"/>
      <c r="VF26" s="64"/>
      <c r="VG26" s="64"/>
      <c r="VH26" s="64"/>
      <c r="VI26" s="64"/>
      <c r="VJ26" s="64"/>
      <c r="VK26" s="64"/>
      <c r="VL26" s="64"/>
      <c r="VM26" s="64"/>
      <c r="VN26" s="64"/>
      <c r="VO26" s="64"/>
      <c r="VP26" s="64"/>
      <c r="VQ26" s="64"/>
      <c r="VR26" s="64"/>
      <c r="VS26" s="64"/>
      <c r="VT26" s="64"/>
      <c r="VU26" s="64"/>
      <c r="VV26" s="64"/>
      <c r="VW26" s="64"/>
      <c r="VX26" s="64"/>
      <c r="VY26" s="64"/>
      <c r="VZ26" s="64"/>
      <c r="WA26" s="64"/>
      <c r="WB26" s="64"/>
      <c r="WC26" s="64"/>
      <c r="WD26" s="64"/>
      <c r="WE26" s="64"/>
      <c r="WF26" s="64"/>
      <c r="WG26" s="64"/>
      <c r="WH26" s="64"/>
      <c r="WI26" s="64"/>
      <c r="WJ26" s="64"/>
      <c r="WK26" s="64"/>
      <c r="WL26" s="64"/>
      <c r="WM26" s="64"/>
      <c r="WN26" s="64"/>
      <c r="WO26" s="64"/>
      <c r="WP26" s="64"/>
      <c r="WQ26" s="64"/>
      <c r="WR26" s="64"/>
      <c r="WS26" s="64"/>
      <c r="WT26" s="64"/>
      <c r="WU26" s="64"/>
      <c r="WV26" s="64"/>
      <c r="WW26" s="64"/>
      <c r="WX26" s="64"/>
      <c r="WY26" s="64"/>
      <c r="WZ26" s="64"/>
      <c r="XA26" s="64"/>
      <c r="XB26" s="64"/>
      <c r="XC26" s="64"/>
      <c r="XD26" s="64"/>
      <c r="XE26" s="64"/>
      <c r="XF26" s="64"/>
      <c r="XG26" s="64"/>
      <c r="XH26" s="64"/>
      <c r="XI26" s="64"/>
      <c r="XJ26" s="64"/>
      <c r="XK26" s="64"/>
      <c r="XL26" s="64"/>
      <c r="XM26" s="64"/>
      <c r="XN26" s="64"/>
      <c r="XO26" s="64"/>
      <c r="XP26" s="64"/>
      <c r="XQ26" s="64"/>
      <c r="XR26" s="64"/>
      <c r="XS26" s="64"/>
      <c r="XT26" s="64"/>
      <c r="XU26" s="64"/>
      <c r="XV26" s="64"/>
      <c r="XW26" s="64"/>
      <c r="XX26" s="64"/>
      <c r="XY26" s="64"/>
      <c r="XZ26" s="64"/>
      <c r="YA26" s="64"/>
      <c r="YB26" s="64"/>
      <c r="YC26" s="64"/>
      <c r="YD26" s="64"/>
      <c r="YE26" s="64"/>
      <c r="YF26" s="64"/>
      <c r="YG26" s="64"/>
      <c r="YH26" s="64"/>
      <c r="YI26" s="64"/>
      <c r="YJ26" s="64"/>
      <c r="YK26" s="64"/>
      <c r="YL26" s="64"/>
      <c r="YM26" s="64"/>
      <c r="YN26" s="64"/>
      <c r="YO26" s="64"/>
      <c r="YP26" s="64"/>
      <c r="YQ26" s="64"/>
      <c r="YR26" s="64"/>
      <c r="YS26" s="64"/>
      <c r="YT26" s="64"/>
      <c r="YU26" s="64"/>
      <c r="YV26" s="64"/>
      <c r="YW26" s="64"/>
      <c r="YX26" s="64"/>
      <c r="YY26" s="64"/>
      <c r="YZ26" s="64"/>
      <c r="ZA26" s="64"/>
    </row>
    <row r="27" customFormat="false" ht="15" hidden="false" customHeight="false" outlineLevel="0" collapsed="false">
      <c r="A27" s="54"/>
      <c r="B27" s="47" t="str">
        <f aca="false">'Адреси Контакти'!A7</f>
        <v>Адреса (вулиця, № будинку, квартири)</v>
      </c>
      <c r="C27" s="56" t="str">
        <f aca="false">IF('Адреси Контакти'!B7 = 0, "", 'Адреси Контакти'!B7)</f>
        <v/>
      </c>
      <c r="D27" s="56"/>
      <c r="O27" s="58"/>
      <c r="P27" s="25" t="s">
        <v>157</v>
      </c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  <c r="HU27" s="64"/>
      <c r="HV27" s="64"/>
      <c r="HW27" s="64"/>
      <c r="HX27" s="64"/>
      <c r="HY27" s="64"/>
      <c r="HZ27" s="64"/>
      <c r="IA27" s="64"/>
      <c r="IB27" s="64"/>
      <c r="IC27" s="64"/>
      <c r="ID27" s="64"/>
      <c r="IE27" s="64"/>
      <c r="IF27" s="64"/>
      <c r="IG27" s="64"/>
      <c r="IH27" s="64"/>
      <c r="II27" s="64"/>
      <c r="IJ27" s="64"/>
      <c r="IK27" s="64"/>
      <c r="IL27" s="64"/>
      <c r="IM27" s="64"/>
      <c r="IN27" s="64"/>
      <c r="IO27" s="64"/>
      <c r="IP27" s="64"/>
      <c r="IQ27" s="64"/>
      <c r="IR27" s="64"/>
      <c r="IS27" s="64"/>
      <c r="IT27" s="64"/>
      <c r="IU27" s="64"/>
      <c r="IV27" s="64"/>
      <c r="IW27" s="64"/>
      <c r="IX27" s="64"/>
      <c r="IY27" s="64"/>
      <c r="IZ27" s="64"/>
      <c r="JA27" s="64"/>
      <c r="JB27" s="64"/>
      <c r="JC27" s="64"/>
      <c r="JD27" s="64"/>
      <c r="JE27" s="64"/>
      <c r="JF27" s="64"/>
      <c r="JG27" s="64"/>
      <c r="JH27" s="64"/>
      <c r="JI27" s="64"/>
      <c r="JJ27" s="64"/>
      <c r="JK27" s="64"/>
      <c r="JL27" s="64"/>
      <c r="JM27" s="64"/>
      <c r="JN27" s="64"/>
      <c r="JO27" s="64"/>
      <c r="JP27" s="64"/>
      <c r="JQ27" s="64"/>
      <c r="JR27" s="64"/>
      <c r="JS27" s="64"/>
      <c r="JT27" s="64"/>
      <c r="JU27" s="64"/>
      <c r="JV27" s="64"/>
      <c r="JW27" s="64"/>
      <c r="JX27" s="64"/>
      <c r="JY27" s="64"/>
      <c r="JZ27" s="64"/>
      <c r="KA27" s="64"/>
      <c r="KB27" s="64"/>
      <c r="KC27" s="64"/>
      <c r="KD27" s="64"/>
      <c r="KE27" s="64"/>
      <c r="KF27" s="64"/>
      <c r="KG27" s="64"/>
      <c r="KH27" s="64"/>
      <c r="KI27" s="64"/>
      <c r="KJ27" s="64"/>
      <c r="KK27" s="64"/>
      <c r="KL27" s="64"/>
      <c r="KM27" s="64"/>
      <c r="KN27" s="64"/>
      <c r="KO27" s="64"/>
      <c r="KP27" s="64"/>
      <c r="KQ27" s="64"/>
      <c r="KR27" s="64"/>
      <c r="KS27" s="64"/>
      <c r="KT27" s="64"/>
      <c r="KU27" s="64"/>
      <c r="KV27" s="64"/>
      <c r="KW27" s="64"/>
      <c r="KX27" s="64"/>
      <c r="KY27" s="64"/>
      <c r="KZ27" s="64"/>
      <c r="LA27" s="64"/>
      <c r="LB27" s="64"/>
      <c r="LC27" s="64"/>
      <c r="LD27" s="64"/>
      <c r="LE27" s="64"/>
      <c r="LF27" s="64"/>
      <c r="LG27" s="64"/>
      <c r="LH27" s="64"/>
      <c r="LI27" s="64"/>
      <c r="LJ27" s="64"/>
      <c r="LK27" s="64"/>
      <c r="LL27" s="64"/>
      <c r="LM27" s="64"/>
      <c r="LN27" s="64"/>
      <c r="LO27" s="64"/>
      <c r="LP27" s="64"/>
      <c r="LQ27" s="64"/>
      <c r="LR27" s="64"/>
      <c r="LS27" s="64"/>
      <c r="LT27" s="64"/>
      <c r="LU27" s="64"/>
      <c r="LV27" s="64"/>
      <c r="LW27" s="64"/>
      <c r="LX27" s="64"/>
      <c r="LY27" s="64"/>
      <c r="LZ27" s="64"/>
      <c r="MA27" s="64"/>
      <c r="MB27" s="64"/>
      <c r="MC27" s="64"/>
      <c r="MD27" s="64"/>
      <c r="ME27" s="64"/>
      <c r="MF27" s="64"/>
      <c r="MG27" s="64"/>
      <c r="MH27" s="64"/>
      <c r="MI27" s="64"/>
      <c r="MJ27" s="64"/>
      <c r="MK27" s="64"/>
      <c r="ML27" s="64"/>
      <c r="MM27" s="64"/>
      <c r="MN27" s="64"/>
      <c r="MO27" s="64"/>
      <c r="MP27" s="64"/>
      <c r="MQ27" s="64"/>
      <c r="MR27" s="64"/>
      <c r="MS27" s="64"/>
      <c r="MT27" s="64"/>
      <c r="MU27" s="64"/>
      <c r="MV27" s="64"/>
      <c r="MW27" s="64"/>
      <c r="MX27" s="64"/>
      <c r="MY27" s="64"/>
      <c r="MZ27" s="64"/>
      <c r="NA27" s="64"/>
      <c r="NB27" s="64"/>
      <c r="NC27" s="64"/>
      <c r="ND27" s="64"/>
      <c r="NE27" s="64"/>
      <c r="NF27" s="64"/>
      <c r="NG27" s="64"/>
      <c r="NH27" s="64"/>
      <c r="NI27" s="64"/>
      <c r="NJ27" s="64"/>
      <c r="NK27" s="64"/>
      <c r="NL27" s="64"/>
      <c r="NM27" s="64"/>
      <c r="NN27" s="64"/>
      <c r="NO27" s="64"/>
      <c r="NP27" s="64"/>
      <c r="NQ27" s="64"/>
      <c r="NR27" s="64"/>
      <c r="NS27" s="64"/>
      <c r="NT27" s="64"/>
      <c r="NU27" s="64"/>
      <c r="NV27" s="64"/>
      <c r="NW27" s="64"/>
      <c r="NX27" s="64"/>
      <c r="NY27" s="64"/>
      <c r="NZ27" s="64"/>
      <c r="OA27" s="64"/>
      <c r="OB27" s="64"/>
      <c r="OC27" s="64"/>
      <c r="OD27" s="64"/>
      <c r="OE27" s="64"/>
      <c r="OF27" s="64"/>
      <c r="OG27" s="64"/>
      <c r="OH27" s="64"/>
      <c r="OI27" s="64"/>
      <c r="OJ27" s="64"/>
      <c r="OK27" s="64"/>
      <c r="OL27" s="64"/>
      <c r="OM27" s="64"/>
      <c r="ON27" s="64"/>
      <c r="OO27" s="64"/>
      <c r="OP27" s="64"/>
      <c r="OQ27" s="64"/>
      <c r="OR27" s="64"/>
      <c r="OS27" s="64"/>
      <c r="OT27" s="64"/>
      <c r="OU27" s="64"/>
      <c r="OV27" s="64"/>
      <c r="OW27" s="64"/>
      <c r="OX27" s="64"/>
      <c r="OY27" s="64"/>
      <c r="OZ27" s="64"/>
      <c r="PA27" s="64"/>
      <c r="PB27" s="64"/>
      <c r="PC27" s="64"/>
      <c r="PD27" s="64"/>
      <c r="PE27" s="64"/>
      <c r="PF27" s="64"/>
      <c r="PG27" s="64"/>
      <c r="PH27" s="64"/>
      <c r="PI27" s="64"/>
      <c r="PJ27" s="64"/>
      <c r="PK27" s="64"/>
      <c r="PL27" s="64"/>
      <c r="PM27" s="64"/>
      <c r="PN27" s="64"/>
      <c r="PO27" s="64"/>
      <c r="PP27" s="64"/>
      <c r="PQ27" s="64"/>
      <c r="PR27" s="64"/>
      <c r="PS27" s="64"/>
      <c r="PT27" s="64"/>
      <c r="PU27" s="64"/>
      <c r="PV27" s="64"/>
      <c r="PW27" s="64"/>
      <c r="PX27" s="64"/>
      <c r="PY27" s="64"/>
      <c r="PZ27" s="64"/>
      <c r="QA27" s="64"/>
      <c r="QB27" s="64"/>
      <c r="QC27" s="64"/>
      <c r="QD27" s="64"/>
      <c r="QE27" s="64"/>
      <c r="QF27" s="64"/>
      <c r="QG27" s="64"/>
      <c r="QH27" s="64"/>
      <c r="QI27" s="64"/>
      <c r="QJ27" s="64"/>
      <c r="QK27" s="64"/>
      <c r="QL27" s="64"/>
      <c r="QM27" s="64"/>
      <c r="QN27" s="64"/>
      <c r="QO27" s="64"/>
      <c r="QP27" s="64"/>
      <c r="QQ27" s="64"/>
      <c r="QR27" s="64"/>
      <c r="QS27" s="64"/>
      <c r="QT27" s="64"/>
      <c r="QU27" s="64"/>
      <c r="QV27" s="64"/>
      <c r="QW27" s="64"/>
      <c r="QX27" s="64"/>
      <c r="QY27" s="64"/>
      <c r="QZ27" s="64"/>
      <c r="RA27" s="64"/>
      <c r="RB27" s="64"/>
      <c r="RC27" s="64"/>
      <c r="RD27" s="64"/>
      <c r="RE27" s="64"/>
      <c r="RF27" s="64"/>
      <c r="RG27" s="64"/>
      <c r="RH27" s="64"/>
      <c r="RI27" s="64"/>
      <c r="RJ27" s="64"/>
      <c r="RK27" s="64"/>
      <c r="RL27" s="64"/>
      <c r="RM27" s="64"/>
      <c r="RN27" s="64"/>
      <c r="RO27" s="64"/>
      <c r="RP27" s="64"/>
      <c r="RQ27" s="64"/>
      <c r="RR27" s="64"/>
      <c r="RS27" s="64"/>
      <c r="RT27" s="64"/>
      <c r="RU27" s="64"/>
      <c r="RV27" s="64"/>
      <c r="RW27" s="64"/>
      <c r="RX27" s="64"/>
      <c r="RY27" s="64"/>
      <c r="RZ27" s="64"/>
      <c r="SA27" s="64"/>
      <c r="SB27" s="64"/>
      <c r="SC27" s="64"/>
      <c r="SD27" s="64"/>
      <c r="SE27" s="64"/>
      <c r="SF27" s="64"/>
      <c r="SG27" s="64"/>
      <c r="SH27" s="64"/>
      <c r="SI27" s="64"/>
      <c r="SJ27" s="64"/>
      <c r="SK27" s="64"/>
      <c r="SL27" s="64"/>
      <c r="SM27" s="64"/>
      <c r="SN27" s="64"/>
      <c r="SO27" s="64"/>
      <c r="SP27" s="64"/>
      <c r="SQ27" s="64"/>
      <c r="SR27" s="64"/>
      <c r="SS27" s="64"/>
      <c r="ST27" s="64"/>
      <c r="SU27" s="64"/>
      <c r="SV27" s="64"/>
      <c r="SW27" s="64"/>
      <c r="SX27" s="64"/>
      <c r="SY27" s="64"/>
      <c r="SZ27" s="64"/>
      <c r="TA27" s="64"/>
      <c r="TB27" s="64"/>
      <c r="TC27" s="64"/>
      <c r="TD27" s="64"/>
      <c r="TE27" s="64"/>
      <c r="TF27" s="64"/>
      <c r="TG27" s="64"/>
      <c r="TH27" s="64"/>
      <c r="TI27" s="64"/>
      <c r="TJ27" s="64"/>
      <c r="TK27" s="64"/>
      <c r="TL27" s="64"/>
      <c r="TM27" s="64"/>
      <c r="TN27" s="64"/>
      <c r="TO27" s="64"/>
      <c r="TP27" s="64"/>
      <c r="TQ27" s="64"/>
      <c r="TR27" s="64"/>
      <c r="TS27" s="64"/>
      <c r="TT27" s="64"/>
      <c r="TU27" s="64"/>
      <c r="TV27" s="64"/>
      <c r="TW27" s="64"/>
      <c r="TX27" s="64"/>
      <c r="TY27" s="64"/>
      <c r="TZ27" s="64"/>
      <c r="UA27" s="64"/>
      <c r="UB27" s="64"/>
      <c r="UC27" s="64"/>
      <c r="UD27" s="64"/>
      <c r="UE27" s="64"/>
      <c r="UF27" s="64"/>
      <c r="UG27" s="64"/>
      <c r="UH27" s="64"/>
      <c r="UI27" s="64"/>
      <c r="UJ27" s="64"/>
      <c r="UK27" s="64"/>
      <c r="UL27" s="64"/>
      <c r="UM27" s="64"/>
      <c r="UN27" s="64"/>
      <c r="UO27" s="64"/>
      <c r="UP27" s="64"/>
      <c r="UQ27" s="64"/>
      <c r="UR27" s="64"/>
      <c r="US27" s="64"/>
      <c r="UT27" s="64"/>
      <c r="UU27" s="64"/>
      <c r="UV27" s="64"/>
      <c r="UW27" s="64"/>
      <c r="UX27" s="64"/>
      <c r="UY27" s="64"/>
      <c r="UZ27" s="64"/>
      <c r="VA27" s="64"/>
      <c r="VB27" s="64"/>
      <c r="VC27" s="64"/>
      <c r="VD27" s="64"/>
      <c r="VE27" s="64"/>
      <c r="VF27" s="64"/>
      <c r="VG27" s="64"/>
      <c r="VH27" s="64"/>
      <c r="VI27" s="64"/>
      <c r="VJ27" s="64"/>
      <c r="VK27" s="64"/>
      <c r="VL27" s="64"/>
      <c r="VM27" s="64"/>
      <c r="VN27" s="64"/>
      <c r="VO27" s="64"/>
      <c r="VP27" s="64"/>
      <c r="VQ27" s="64"/>
      <c r="VR27" s="64"/>
      <c r="VS27" s="64"/>
      <c r="VT27" s="64"/>
      <c r="VU27" s="64"/>
      <c r="VV27" s="64"/>
      <c r="VW27" s="64"/>
      <c r="VX27" s="64"/>
      <c r="VY27" s="64"/>
      <c r="VZ27" s="64"/>
      <c r="WA27" s="64"/>
      <c r="WB27" s="64"/>
      <c r="WC27" s="64"/>
      <c r="WD27" s="64"/>
      <c r="WE27" s="64"/>
      <c r="WF27" s="64"/>
      <c r="WG27" s="64"/>
      <c r="WH27" s="64"/>
      <c r="WI27" s="64"/>
      <c r="WJ27" s="64"/>
      <c r="WK27" s="64"/>
      <c r="WL27" s="64"/>
      <c r="WM27" s="64"/>
      <c r="WN27" s="64"/>
      <c r="WO27" s="64"/>
      <c r="WP27" s="64"/>
      <c r="WQ27" s="64"/>
      <c r="WR27" s="64"/>
      <c r="WS27" s="64"/>
      <c r="WT27" s="64"/>
      <c r="WU27" s="64"/>
      <c r="WV27" s="64"/>
      <c r="WW27" s="64"/>
      <c r="WX27" s="64"/>
      <c r="WY27" s="64"/>
      <c r="WZ27" s="64"/>
      <c r="XA27" s="64"/>
      <c r="XB27" s="64"/>
      <c r="XC27" s="64"/>
      <c r="XD27" s="64"/>
      <c r="XE27" s="64"/>
      <c r="XF27" s="64"/>
      <c r="XG27" s="64"/>
      <c r="XH27" s="64"/>
      <c r="XI27" s="64"/>
      <c r="XJ27" s="64"/>
      <c r="XK27" s="64"/>
      <c r="XL27" s="64"/>
      <c r="XM27" s="64"/>
      <c r="XN27" s="64"/>
      <c r="XO27" s="64"/>
      <c r="XP27" s="64"/>
      <c r="XQ27" s="64"/>
      <c r="XR27" s="64"/>
      <c r="XS27" s="64"/>
      <c r="XT27" s="64"/>
      <c r="XU27" s="64"/>
      <c r="XV27" s="64"/>
      <c r="XW27" s="64"/>
      <c r="XX27" s="64"/>
      <c r="XY27" s="64"/>
      <c r="XZ27" s="64"/>
      <c r="YA27" s="64"/>
      <c r="YB27" s="64"/>
      <c r="YC27" s="64"/>
      <c r="YD27" s="64"/>
      <c r="YE27" s="64"/>
      <c r="YF27" s="64"/>
      <c r="YG27" s="64"/>
      <c r="YH27" s="64"/>
      <c r="YI27" s="64"/>
      <c r="YJ27" s="64"/>
      <c r="YK27" s="64"/>
      <c r="YL27" s="64"/>
      <c r="YM27" s="64"/>
      <c r="YN27" s="64"/>
      <c r="YO27" s="64"/>
      <c r="YP27" s="64"/>
      <c r="YQ27" s="64"/>
      <c r="YR27" s="64"/>
      <c r="YS27" s="64"/>
      <c r="YT27" s="64"/>
      <c r="YU27" s="64"/>
      <c r="YV27" s="64"/>
      <c r="YW27" s="64"/>
      <c r="YX27" s="64"/>
      <c r="YY27" s="64"/>
      <c r="YZ27" s="64"/>
      <c r="ZA27" s="64"/>
    </row>
    <row r="28" customFormat="false" ht="15" hidden="false" customHeight="false" outlineLevel="0" collapsed="false">
      <c r="A28" s="54"/>
      <c r="B28" s="47" t="str">
        <f aca="false">'Адреси Контакти'!A8</f>
        <v>Індекс</v>
      </c>
      <c r="C28" s="56" t="str">
        <f aca="false">IF('Адреси Контакти'!B8 = 0, "", 'Адреси Контакти'!B8)</f>
        <v/>
      </c>
      <c r="D28" s="56"/>
      <c r="O28" s="58"/>
      <c r="P28" s="60" t="s">
        <v>60</v>
      </c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  <c r="HU28" s="64"/>
      <c r="HV28" s="64"/>
      <c r="HW28" s="64"/>
      <c r="HX28" s="64"/>
      <c r="HY28" s="64"/>
      <c r="HZ28" s="64"/>
      <c r="IA28" s="64"/>
      <c r="IB28" s="64"/>
      <c r="IC28" s="64"/>
      <c r="ID28" s="64"/>
      <c r="IE28" s="64"/>
      <c r="IF28" s="64"/>
      <c r="IG28" s="64"/>
      <c r="IH28" s="64"/>
      <c r="II28" s="64"/>
      <c r="IJ28" s="64"/>
      <c r="IK28" s="64"/>
      <c r="IL28" s="64"/>
      <c r="IM28" s="64"/>
      <c r="IN28" s="64"/>
      <c r="IO28" s="64"/>
      <c r="IP28" s="64"/>
      <c r="IQ28" s="64"/>
      <c r="IR28" s="64"/>
      <c r="IS28" s="64"/>
      <c r="IT28" s="64"/>
      <c r="IU28" s="64"/>
      <c r="IV28" s="64"/>
      <c r="IW28" s="64"/>
      <c r="IX28" s="64"/>
      <c r="IY28" s="64"/>
      <c r="IZ28" s="64"/>
      <c r="JA28" s="64"/>
      <c r="JB28" s="64"/>
      <c r="JC28" s="64"/>
      <c r="JD28" s="64"/>
      <c r="JE28" s="64"/>
      <c r="JF28" s="64"/>
      <c r="JG28" s="64"/>
      <c r="JH28" s="64"/>
      <c r="JI28" s="64"/>
      <c r="JJ28" s="64"/>
      <c r="JK28" s="64"/>
      <c r="JL28" s="64"/>
      <c r="JM28" s="64"/>
      <c r="JN28" s="64"/>
      <c r="JO28" s="64"/>
      <c r="JP28" s="64"/>
      <c r="JQ28" s="64"/>
      <c r="JR28" s="64"/>
      <c r="JS28" s="64"/>
      <c r="JT28" s="64"/>
      <c r="JU28" s="64"/>
      <c r="JV28" s="64"/>
      <c r="JW28" s="64"/>
      <c r="JX28" s="64"/>
      <c r="JY28" s="64"/>
      <c r="JZ28" s="64"/>
      <c r="KA28" s="64"/>
      <c r="KB28" s="64"/>
      <c r="KC28" s="64"/>
      <c r="KD28" s="64"/>
      <c r="KE28" s="64"/>
      <c r="KF28" s="64"/>
      <c r="KG28" s="64"/>
      <c r="KH28" s="64"/>
      <c r="KI28" s="64"/>
      <c r="KJ28" s="64"/>
      <c r="KK28" s="64"/>
      <c r="KL28" s="64"/>
      <c r="KM28" s="64"/>
      <c r="KN28" s="64"/>
      <c r="KO28" s="64"/>
      <c r="KP28" s="64"/>
      <c r="KQ28" s="64"/>
      <c r="KR28" s="64"/>
      <c r="KS28" s="64"/>
      <c r="KT28" s="64"/>
      <c r="KU28" s="64"/>
      <c r="KV28" s="64"/>
      <c r="KW28" s="64"/>
      <c r="KX28" s="64"/>
      <c r="KY28" s="64"/>
      <c r="KZ28" s="64"/>
      <c r="LA28" s="64"/>
      <c r="LB28" s="64"/>
      <c r="LC28" s="64"/>
      <c r="LD28" s="64"/>
      <c r="LE28" s="64"/>
      <c r="LF28" s="64"/>
      <c r="LG28" s="64"/>
      <c r="LH28" s="64"/>
      <c r="LI28" s="64"/>
      <c r="LJ28" s="64"/>
      <c r="LK28" s="64"/>
      <c r="LL28" s="64"/>
      <c r="LM28" s="64"/>
      <c r="LN28" s="64"/>
      <c r="LO28" s="64"/>
      <c r="LP28" s="64"/>
      <c r="LQ28" s="64"/>
      <c r="LR28" s="64"/>
      <c r="LS28" s="64"/>
      <c r="LT28" s="64"/>
      <c r="LU28" s="64"/>
      <c r="LV28" s="64"/>
      <c r="LW28" s="64"/>
      <c r="LX28" s="64"/>
      <c r="LY28" s="64"/>
      <c r="LZ28" s="64"/>
      <c r="MA28" s="64"/>
      <c r="MB28" s="64"/>
      <c r="MC28" s="64"/>
      <c r="MD28" s="64"/>
      <c r="ME28" s="64"/>
      <c r="MF28" s="64"/>
      <c r="MG28" s="64"/>
      <c r="MH28" s="64"/>
      <c r="MI28" s="64"/>
      <c r="MJ28" s="64"/>
      <c r="MK28" s="64"/>
      <c r="ML28" s="64"/>
      <c r="MM28" s="64"/>
      <c r="MN28" s="64"/>
      <c r="MO28" s="64"/>
      <c r="MP28" s="64"/>
      <c r="MQ28" s="64"/>
      <c r="MR28" s="64"/>
      <c r="MS28" s="64"/>
      <c r="MT28" s="64"/>
      <c r="MU28" s="64"/>
      <c r="MV28" s="64"/>
      <c r="MW28" s="64"/>
      <c r="MX28" s="64"/>
      <c r="MY28" s="64"/>
      <c r="MZ28" s="64"/>
      <c r="NA28" s="64"/>
      <c r="NB28" s="64"/>
      <c r="NC28" s="64"/>
      <c r="ND28" s="64"/>
      <c r="NE28" s="64"/>
      <c r="NF28" s="64"/>
      <c r="NG28" s="64"/>
      <c r="NH28" s="64"/>
      <c r="NI28" s="64"/>
      <c r="NJ28" s="64"/>
      <c r="NK28" s="64"/>
      <c r="NL28" s="64"/>
      <c r="NM28" s="64"/>
      <c r="NN28" s="64"/>
      <c r="NO28" s="64"/>
      <c r="NP28" s="64"/>
      <c r="NQ28" s="64"/>
      <c r="NR28" s="64"/>
      <c r="NS28" s="64"/>
      <c r="NT28" s="64"/>
      <c r="NU28" s="64"/>
      <c r="NV28" s="64"/>
      <c r="NW28" s="64"/>
      <c r="NX28" s="64"/>
      <c r="NY28" s="64"/>
      <c r="NZ28" s="64"/>
      <c r="OA28" s="64"/>
      <c r="OB28" s="64"/>
      <c r="OC28" s="64"/>
      <c r="OD28" s="64"/>
      <c r="OE28" s="64"/>
      <c r="OF28" s="64"/>
      <c r="OG28" s="64"/>
      <c r="OH28" s="64"/>
      <c r="OI28" s="64"/>
      <c r="OJ28" s="64"/>
      <c r="OK28" s="64"/>
      <c r="OL28" s="64"/>
      <c r="OM28" s="64"/>
      <c r="ON28" s="64"/>
      <c r="OO28" s="64"/>
      <c r="OP28" s="64"/>
      <c r="OQ28" s="64"/>
      <c r="OR28" s="64"/>
      <c r="OS28" s="64"/>
      <c r="OT28" s="64"/>
      <c r="OU28" s="64"/>
      <c r="OV28" s="64"/>
      <c r="OW28" s="64"/>
      <c r="OX28" s="64"/>
      <c r="OY28" s="64"/>
      <c r="OZ28" s="64"/>
      <c r="PA28" s="64"/>
      <c r="PB28" s="64"/>
      <c r="PC28" s="64"/>
      <c r="PD28" s="64"/>
      <c r="PE28" s="64"/>
      <c r="PF28" s="64"/>
      <c r="PG28" s="64"/>
      <c r="PH28" s="64"/>
      <c r="PI28" s="64"/>
      <c r="PJ28" s="64"/>
      <c r="PK28" s="64"/>
      <c r="PL28" s="64"/>
      <c r="PM28" s="64"/>
      <c r="PN28" s="64"/>
      <c r="PO28" s="64"/>
      <c r="PP28" s="64"/>
      <c r="PQ28" s="64"/>
      <c r="PR28" s="64"/>
      <c r="PS28" s="64"/>
      <c r="PT28" s="64"/>
      <c r="PU28" s="64"/>
      <c r="PV28" s="64"/>
      <c r="PW28" s="64"/>
      <c r="PX28" s="64"/>
      <c r="PY28" s="64"/>
      <c r="PZ28" s="64"/>
      <c r="QA28" s="64"/>
      <c r="QB28" s="64"/>
      <c r="QC28" s="64"/>
      <c r="QD28" s="64"/>
      <c r="QE28" s="64"/>
      <c r="QF28" s="64"/>
      <c r="QG28" s="64"/>
      <c r="QH28" s="64"/>
      <c r="QI28" s="64"/>
      <c r="QJ28" s="64"/>
      <c r="QK28" s="64"/>
      <c r="QL28" s="64"/>
      <c r="QM28" s="64"/>
      <c r="QN28" s="64"/>
      <c r="QO28" s="64"/>
      <c r="QP28" s="64"/>
      <c r="QQ28" s="64"/>
      <c r="QR28" s="64"/>
      <c r="QS28" s="64"/>
      <c r="QT28" s="64"/>
      <c r="QU28" s="64"/>
      <c r="QV28" s="64"/>
      <c r="QW28" s="64"/>
      <c r="QX28" s="64"/>
      <c r="QY28" s="64"/>
      <c r="QZ28" s="64"/>
      <c r="RA28" s="64"/>
      <c r="RB28" s="64"/>
      <c r="RC28" s="64"/>
      <c r="RD28" s="64"/>
      <c r="RE28" s="64"/>
      <c r="RF28" s="64"/>
      <c r="RG28" s="64"/>
      <c r="RH28" s="64"/>
      <c r="RI28" s="64"/>
      <c r="RJ28" s="64"/>
      <c r="RK28" s="64"/>
      <c r="RL28" s="64"/>
      <c r="RM28" s="64"/>
      <c r="RN28" s="64"/>
      <c r="RO28" s="64"/>
      <c r="RP28" s="64"/>
      <c r="RQ28" s="64"/>
      <c r="RR28" s="64"/>
      <c r="RS28" s="64"/>
      <c r="RT28" s="64"/>
      <c r="RU28" s="64"/>
      <c r="RV28" s="64"/>
      <c r="RW28" s="64"/>
      <c r="RX28" s="64"/>
      <c r="RY28" s="64"/>
      <c r="RZ28" s="64"/>
      <c r="SA28" s="64"/>
      <c r="SB28" s="64"/>
      <c r="SC28" s="64"/>
      <c r="SD28" s="64"/>
      <c r="SE28" s="64"/>
      <c r="SF28" s="64"/>
      <c r="SG28" s="64"/>
      <c r="SH28" s="64"/>
      <c r="SI28" s="64"/>
      <c r="SJ28" s="64"/>
      <c r="SK28" s="64"/>
      <c r="SL28" s="64"/>
      <c r="SM28" s="64"/>
      <c r="SN28" s="64"/>
      <c r="SO28" s="64"/>
      <c r="SP28" s="64"/>
      <c r="SQ28" s="64"/>
      <c r="SR28" s="64"/>
      <c r="SS28" s="64"/>
      <c r="ST28" s="64"/>
      <c r="SU28" s="64"/>
      <c r="SV28" s="64"/>
      <c r="SW28" s="64"/>
      <c r="SX28" s="64"/>
      <c r="SY28" s="64"/>
      <c r="SZ28" s="64"/>
      <c r="TA28" s="64"/>
      <c r="TB28" s="64"/>
      <c r="TC28" s="64"/>
      <c r="TD28" s="64"/>
      <c r="TE28" s="64"/>
      <c r="TF28" s="64"/>
      <c r="TG28" s="64"/>
      <c r="TH28" s="64"/>
      <c r="TI28" s="64"/>
      <c r="TJ28" s="64"/>
      <c r="TK28" s="64"/>
      <c r="TL28" s="64"/>
      <c r="TM28" s="64"/>
      <c r="TN28" s="64"/>
      <c r="TO28" s="64"/>
      <c r="TP28" s="64"/>
      <c r="TQ28" s="64"/>
      <c r="TR28" s="64"/>
      <c r="TS28" s="64"/>
      <c r="TT28" s="64"/>
      <c r="TU28" s="64"/>
      <c r="TV28" s="64"/>
      <c r="TW28" s="64"/>
      <c r="TX28" s="64"/>
      <c r="TY28" s="64"/>
      <c r="TZ28" s="64"/>
      <c r="UA28" s="64"/>
      <c r="UB28" s="64"/>
      <c r="UC28" s="64"/>
      <c r="UD28" s="64"/>
      <c r="UE28" s="64"/>
      <c r="UF28" s="64"/>
      <c r="UG28" s="64"/>
      <c r="UH28" s="64"/>
      <c r="UI28" s="64"/>
      <c r="UJ28" s="64"/>
      <c r="UK28" s="64"/>
      <c r="UL28" s="64"/>
      <c r="UM28" s="64"/>
      <c r="UN28" s="64"/>
      <c r="UO28" s="64"/>
      <c r="UP28" s="64"/>
      <c r="UQ28" s="64"/>
      <c r="UR28" s="64"/>
      <c r="US28" s="64"/>
      <c r="UT28" s="64"/>
      <c r="UU28" s="64"/>
      <c r="UV28" s="64"/>
      <c r="UW28" s="64"/>
      <c r="UX28" s="64"/>
      <c r="UY28" s="64"/>
      <c r="UZ28" s="64"/>
      <c r="VA28" s="64"/>
      <c r="VB28" s="64"/>
      <c r="VC28" s="64"/>
      <c r="VD28" s="64"/>
      <c r="VE28" s="64"/>
      <c r="VF28" s="64"/>
      <c r="VG28" s="64"/>
      <c r="VH28" s="64"/>
      <c r="VI28" s="64"/>
      <c r="VJ28" s="64"/>
      <c r="VK28" s="64"/>
      <c r="VL28" s="64"/>
      <c r="VM28" s="64"/>
      <c r="VN28" s="64"/>
      <c r="VO28" s="64"/>
      <c r="VP28" s="64"/>
      <c r="VQ28" s="64"/>
      <c r="VR28" s="64"/>
      <c r="VS28" s="64"/>
      <c r="VT28" s="64"/>
      <c r="VU28" s="64"/>
      <c r="VV28" s="64"/>
      <c r="VW28" s="64"/>
      <c r="VX28" s="64"/>
      <c r="VY28" s="64"/>
      <c r="VZ28" s="64"/>
      <c r="WA28" s="64"/>
      <c r="WB28" s="64"/>
      <c r="WC28" s="64"/>
      <c r="WD28" s="64"/>
      <c r="WE28" s="64"/>
      <c r="WF28" s="64"/>
      <c r="WG28" s="64"/>
      <c r="WH28" s="64"/>
      <c r="WI28" s="64"/>
      <c r="WJ28" s="64"/>
      <c r="WK28" s="64"/>
      <c r="WL28" s="64"/>
      <c r="WM28" s="64"/>
      <c r="WN28" s="64"/>
      <c r="WO28" s="64"/>
      <c r="WP28" s="64"/>
      <c r="WQ28" s="64"/>
      <c r="WR28" s="64"/>
      <c r="WS28" s="64"/>
      <c r="WT28" s="64"/>
      <c r="WU28" s="64"/>
      <c r="WV28" s="64"/>
      <c r="WW28" s="64"/>
      <c r="WX28" s="64"/>
      <c r="WY28" s="64"/>
      <c r="WZ28" s="64"/>
      <c r="XA28" s="64"/>
      <c r="XB28" s="64"/>
      <c r="XC28" s="64"/>
      <c r="XD28" s="64"/>
      <c r="XE28" s="64"/>
      <c r="XF28" s="64"/>
      <c r="XG28" s="64"/>
      <c r="XH28" s="64"/>
      <c r="XI28" s="64"/>
      <c r="XJ28" s="64"/>
      <c r="XK28" s="64"/>
      <c r="XL28" s="64"/>
      <c r="XM28" s="64"/>
      <c r="XN28" s="64"/>
      <c r="XO28" s="64"/>
      <c r="XP28" s="64"/>
      <c r="XQ28" s="64"/>
      <c r="XR28" s="64"/>
      <c r="XS28" s="64"/>
      <c r="XT28" s="64"/>
      <c r="XU28" s="64"/>
      <c r="XV28" s="64"/>
      <c r="XW28" s="64"/>
      <c r="XX28" s="64"/>
      <c r="XY28" s="64"/>
      <c r="XZ28" s="64"/>
      <c r="YA28" s="64"/>
      <c r="YB28" s="64"/>
      <c r="YC28" s="64"/>
      <c r="YD28" s="64"/>
      <c r="YE28" s="64"/>
      <c r="YF28" s="64"/>
      <c r="YG28" s="64"/>
      <c r="YH28" s="64"/>
      <c r="YI28" s="64"/>
      <c r="YJ28" s="64"/>
      <c r="YK28" s="64"/>
      <c r="YL28" s="64"/>
      <c r="YM28" s="64"/>
      <c r="YN28" s="64"/>
      <c r="YO28" s="64"/>
      <c r="YP28" s="64"/>
      <c r="YQ28" s="64"/>
      <c r="YR28" s="64"/>
      <c r="YS28" s="64"/>
      <c r="YT28" s="64"/>
      <c r="YU28" s="64"/>
      <c r="YV28" s="64"/>
      <c r="YW28" s="64"/>
      <c r="YX28" s="64"/>
      <c r="YY28" s="64"/>
      <c r="YZ28" s="64"/>
      <c r="ZA28" s="64"/>
    </row>
    <row r="29" customFormat="false" ht="15" hidden="false" customHeight="false" outlineLevel="0" collapsed="false">
      <c r="A29" s="54"/>
      <c r="B29" s="47" t="str">
        <f aca="false">'Адреси Контакти'!A11</f>
        <v>КОНТАКТНИЙ ТЕЛЕФОН (основний)</v>
      </c>
      <c r="C29" s="56" t="str">
        <f aca="false">IF('Адреси Контакти'!B11 = 0, "", 'Адреси Контакти'!B11)</f>
        <v/>
      </c>
      <c r="D29" s="56"/>
    </row>
    <row r="30" customFormat="false" ht="15" hidden="false" customHeight="false" outlineLevel="0" collapsed="false">
      <c r="A30" s="54"/>
      <c r="B30" s="47" t="str">
        <f aca="false">'Адреси Контакти'!A12</f>
        <v>КОНТАКТНИЙ ТЕЛЕФОН (додатковий)</v>
      </c>
      <c r="C30" s="56" t="str">
        <f aca="false">IF('Адреси Контакти'!B12 = 0, "", 'Адреси Контакти'!B12)</f>
        <v/>
      </c>
      <c r="D30" s="56"/>
    </row>
    <row r="31" customFormat="false" ht="15" hidden="false" customHeight="false" outlineLevel="0" collapsed="false">
      <c r="A31" s="54"/>
      <c r="B31" s="47" t="str">
        <f aca="false">'Адреси Контакти'!A15</f>
        <v>Співпадає із адресою фактичного проживання</v>
      </c>
      <c r="C31" s="56" t="str">
        <f aca="false">IF('Адреси Контакти'!B15 = 0, "", 'Адреси Контакти'!B15)</f>
        <v/>
      </c>
      <c r="D31" s="56"/>
    </row>
    <row r="32" customFormat="false" ht="15" hidden="false" customHeight="false" outlineLevel="0" collapsed="false">
      <c r="A32" s="54"/>
      <c r="B32" s="47" t="str">
        <f aca="false">'Адреси Контакти'!A17</f>
        <v>Країна</v>
      </c>
      <c r="C32" s="56" t="str">
        <f aca="false">IF('Адреси Контакти'!B17 = 0, "", 'Адреси Контакти'!B17)</f>
        <v/>
      </c>
      <c r="D32" s="56"/>
    </row>
    <row r="33" customFormat="false" ht="15" hidden="false" customHeight="false" outlineLevel="0" collapsed="false">
      <c r="A33" s="54"/>
      <c r="B33" s="47" t="str">
        <f aca="false">'Адреси Контакти'!A18</f>
        <v>Область (України)</v>
      </c>
      <c r="C33" s="56" t="str">
        <f aca="false">IF('Адреси Контакти'!B18 = 0, "", 'Адреси Контакти'!B18)</f>
        <v/>
      </c>
      <c r="D33" s="56"/>
    </row>
    <row r="34" customFormat="false" ht="15" hidden="false" customHeight="false" outlineLevel="0" collapsed="false">
      <c r="A34" s="54"/>
      <c r="B34" s="47" t="str">
        <f aca="false">'Адреси Контакти'!A19</f>
        <v>Місто</v>
      </c>
      <c r="C34" s="56" t="str">
        <f aca="false">IF('Адреси Контакти'!B19 = 0, "", 'Адреси Контакти'!B19)</f>
        <v/>
      </c>
      <c r="D34" s="56"/>
    </row>
    <row r="35" customFormat="false" ht="15" hidden="false" customHeight="false" outlineLevel="0" collapsed="false">
      <c r="A35" s="54"/>
      <c r="B35" s="47" t="str">
        <f aca="false">'Адреси Контакти'!A20</f>
        <v>Адреса (вулиця, № будинку, квартири)</v>
      </c>
      <c r="C35" s="56" t="str">
        <f aca="false">IF('Адреси Контакти'!B20 = 0, "", 'Адреси Контакти'!B20)</f>
        <v/>
      </c>
      <c r="D35" s="56"/>
    </row>
    <row r="36" customFormat="false" ht="15" hidden="false" customHeight="false" outlineLevel="0" collapsed="false">
      <c r="A36" s="54"/>
      <c r="B36" s="47" t="str">
        <f aca="false">'Адреси Контакти'!A21</f>
        <v>Індекс</v>
      </c>
      <c r="C36" s="56" t="str">
        <f aca="false">IF('Адреси Контакти'!B21 = 0, "", 'Адреси Контакти'!B21)</f>
        <v/>
      </c>
      <c r="D36" s="56"/>
    </row>
    <row r="37" customFormat="false" ht="15" hidden="false" customHeight="false" outlineLevel="0" collapsed="false">
      <c r="A37" s="54" t="s">
        <v>158</v>
      </c>
      <c r="B37" s="47" t="str">
        <f aca="false">Освіта!$A$4</f>
        <v>Назва освітнього закладу</v>
      </c>
      <c r="C37" s="65" t="str">
        <f aca="false">IF(Освіта!A5 = 0, "", Освіта!A5)</f>
        <v/>
      </c>
      <c r="D37" s="66"/>
    </row>
    <row r="38" customFormat="false" ht="15" hidden="false" customHeight="false" outlineLevel="0" collapsed="false">
      <c r="A38" s="54"/>
      <c r="B38" s="47" t="str">
        <f aca="false">Освіта!$B$4</f>
        <v>Серія дисплома (свідоцтва)</v>
      </c>
      <c r="C38" s="65" t="str">
        <f aca="false">IF(Освіта!B5 = 0, "", Освіта!B5)</f>
        <v/>
      </c>
      <c r="D38" s="66"/>
    </row>
    <row r="39" customFormat="false" ht="15" hidden="false" customHeight="false" outlineLevel="0" collapsed="false">
      <c r="A39" s="54"/>
      <c r="B39" s="47" t="str">
        <f aca="false">Освіта!$C$4</f>
        <v>Номер дисплома (свідоцтва)</v>
      </c>
      <c r="C39" s="65" t="str">
        <f aca="false">IF(Освіта!C5 = 0, "", Освіта!C5)</f>
        <v/>
      </c>
      <c r="D39" s="66"/>
    </row>
    <row r="40" customFormat="false" ht="15" hidden="false" customHeight="false" outlineLevel="0" collapsed="false">
      <c r="A40" s="54"/>
      <c r="B40" s="47" t="str">
        <f aca="false">Освіта!$D$4</f>
        <v>Рік закінчення</v>
      </c>
      <c r="C40" s="65" t="str">
        <f aca="false">IF(Освіта!D5 = 0, "", Освіта!D5)</f>
        <v/>
      </c>
      <c r="D40" s="66"/>
    </row>
    <row r="41" customFormat="false" ht="15" hidden="false" customHeight="false" outlineLevel="0" collapsed="false">
      <c r="A41" s="54"/>
      <c r="B41" s="47" t="str">
        <f aca="false">Освіта!$E$4</f>
        <v>Спеціальність (професія) за дипломом (свідоцтвом) </v>
      </c>
      <c r="C41" s="65" t="str">
        <f aca="false">IF(Освіта!E5 = 0, "", Освіта!E5)</f>
        <v/>
      </c>
      <c r="D41" s="66"/>
    </row>
    <row r="42" customFormat="false" ht="15" hidden="false" customHeight="false" outlineLevel="0" collapsed="false">
      <c r="A42" s="54"/>
      <c r="B42" s="47" t="str">
        <f aca="false">Освіта!$F$4</f>
        <v>Кваліфікація за дипломом (свідоцтвом)</v>
      </c>
      <c r="C42" s="65" t="str">
        <f aca="false">IF(Освіта!F5 = 0, "", Освіта!F5)</f>
        <v/>
      </c>
      <c r="D42" s="66"/>
    </row>
    <row r="43" customFormat="false" ht="15" hidden="false" customHeight="false" outlineLevel="0" collapsed="false">
      <c r="A43" s="54"/>
      <c r="B43" s="47" t="str">
        <f aca="false">Освіта!$G$4</f>
        <v>Форма навчання (денна, вечірня, заочна)</v>
      </c>
      <c r="C43" s="65" t="str">
        <f aca="false">IF(Освіта!G5 = 0, "", Освіта!G5)</f>
        <v/>
      </c>
      <c r="D43" s="66"/>
    </row>
    <row r="44" customFormat="false" ht="15" hidden="false" customHeight="false" outlineLevel="0" collapsed="false">
      <c r="A44" s="54"/>
      <c r="B44" s="47" t="str">
        <f aca="false">Освіта!$H$4</f>
        <v>Рівень освіти</v>
      </c>
      <c r="C44" s="65" t="str">
        <f aca="false">IF(Освіта!H5 = 0, "", Освіта!H5)</f>
        <v/>
      </c>
      <c r="D44" s="66"/>
    </row>
    <row r="45" customFormat="false" ht="15" hidden="false" customHeight="false" outlineLevel="0" collapsed="false">
      <c r="A45" s="54"/>
      <c r="B45" s="47" t="str">
        <f aca="false">Освіта!$A$4</f>
        <v>Назва освітнього закладу</v>
      </c>
      <c r="C45" s="65" t="str">
        <f aca="false">IF(Освіта!A6 = 0, "", Освіта!A6)</f>
        <v/>
      </c>
      <c r="D45" s="66"/>
    </row>
    <row r="46" customFormat="false" ht="15" hidden="false" customHeight="false" outlineLevel="0" collapsed="false">
      <c r="A46" s="54"/>
      <c r="B46" s="47" t="str">
        <f aca="false">Освіта!$B$4</f>
        <v>Серія дисплома (свідоцтва)</v>
      </c>
      <c r="C46" s="65" t="str">
        <f aca="false">IF(Освіта!B6 = 0, "", Освіта!B6)</f>
        <v/>
      </c>
      <c r="D46" s="66"/>
    </row>
    <row r="47" customFormat="false" ht="15" hidden="false" customHeight="false" outlineLevel="0" collapsed="false">
      <c r="A47" s="54"/>
      <c r="B47" s="47" t="str">
        <f aca="false">Освіта!$C$4</f>
        <v>Номер дисплома (свідоцтва)</v>
      </c>
      <c r="C47" s="65" t="str">
        <f aca="false">IF(Освіта!C6 = 0, "", Освіта!C6)</f>
        <v/>
      </c>
      <c r="D47" s="66"/>
    </row>
    <row r="48" customFormat="false" ht="15" hidden="false" customHeight="false" outlineLevel="0" collapsed="false">
      <c r="A48" s="54"/>
      <c r="B48" s="47" t="str">
        <f aca="false">Освіта!$D$4</f>
        <v>Рік закінчення</v>
      </c>
      <c r="C48" s="65" t="str">
        <f aca="false">IF(Освіта!D6 = 0, "", Освіта!D6)</f>
        <v/>
      </c>
      <c r="D48" s="66"/>
    </row>
    <row r="49" customFormat="false" ht="15" hidden="false" customHeight="false" outlineLevel="0" collapsed="false">
      <c r="A49" s="54"/>
      <c r="B49" s="47" t="str">
        <f aca="false">Освіта!$E$4</f>
        <v>Спеціальність (професія) за дипломом (свідоцтвом) </v>
      </c>
      <c r="C49" s="65" t="str">
        <f aca="false">IF(Освіта!E6 = 0, "", Освіта!E6)</f>
        <v/>
      </c>
      <c r="D49" s="66"/>
    </row>
    <row r="50" customFormat="false" ht="15" hidden="false" customHeight="false" outlineLevel="0" collapsed="false">
      <c r="A50" s="54"/>
      <c r="B50" s="47" t="str">
        <f aca="false">Освіта!$F$4</f>
        <v>Кваліфікація за дипломом (свідоцтвом)</v>
      </c>
      <c r="C50" s="65" t="str">
        <f aca="false">IF(Освіта!F6 = 0, "", Освіта!F6)</f>
        <v/>
      </c>
      <c r="D50" s="66"/>
    </row>
    <row r="51" customFormat="false" ht="15" hidden="false" customHeight="false" outlineLevel="0" collapsed="false">
      <c r="A51" s="54"/>
      <c r="B51" s="47" t="str">
        <f aca="false">Освіта!$G$4</f>
        <v>Форма навчання (денна, вечірня, заочна)</v>
      </c>
      <c r="C51" s="65" t="str">
        <f aca="false">IF(Освіта!G6 = 0, "", Освіта!G6)</f>
        <v/>
      </c>
      <c r="D51" s="66"/>
    </row>
    <row r="52" customFormat="false" ht="15" hidden="false" customHeight="false" outlineLevel="0" collapsed="false">
      <c r="A52" s="54"/>
      <c r="B52" s="47" t="str">
        <f aca="false">Освіта!$H$4</f>
        <v>Рівень освіти</v>
      </c>
      <c r="C52" s="65" t="str">
        <f aca="false">IF(Освіта!H6 = 0, "", Освіта!H6)</f>
        <v/>
      </c>
      <c r="D52" s="66"/>
    </row>
    <row r="53" customFormat="false" ht="15" hidden="false" customHeight="false" outlineLevel="0" collapsed="false">
      <c r="A53" s="54"/>
      <c r="B53" s="47" t="str">
        <f aca="false">Освіта!$A$4</f>
        <v>Назва освітнього закладу</v>
      </c>
      <c r="C53" s="65" t="str">
        <f aca="false">IF(Освіта!A7 = 0, "", Освіта!A7)</f>
        <v/>
      </c>
      <c r="D53" s="66"/>
    </row>
    <row r="54" customFormat="false" ht="15" hidden="false" customHeight="false" outlineLevel="0" collapsed="false">
      <c r="A54" s="54"/>
      <c r="B54" s="47" t="str">
        <f aca="false">Освіта!$B$4</f>
        <v>Серія дисплома (свідоцтва)</v>
      </c>
      <c r="C54" s="65" t="str">
        <f aca="false">IF(Освіта!B7 = 0, "", Освіта!B7)</f>
        <v/>
      </c>
      <c r="D54" s="66"/>
    </row>
    <row r="55" customFormat="false" ht="15" hidden="false" customHeight="false" outlineLevel="0" collapsed="false">
      <c r="A55" s="54"/>
      <c r="B55" s="47" t="str">
        <f aca="false">Освіта!$C$4</f>
        <v>Номер дисплома (свідоцтва)</v>
      </c>
      <c r="C55" s="65" t="str">
        <f aca="false">IF(Освіта!C7 = 0, "", Освіта!C7)</f>
        <v/>
      </c>
      <c r="D55" s="66"/>
    </row>
    <row r="56" customFormat="false" ht="15" hidden="false" customHeight="false" outlineLevel="0" collapsed="false">
      <c r="A56" s="54"/>
      <c r="B56" s="47" t="str">
        <f aca="false">Освіта!$D$4</f>
        <v>Рік закінчення</v>
      </c>
      <c r="C56" s="65" t="str">
        <f aca="false">IF(Освіта!D7 = 0, "", Освіта!D7)</f>
        <v/>
      </c>
      <c r="D56" s="66"/>
    </row>
    <row r="57" customFormat="false" ht="15" hidden="false" customHeight="false" outlineLevel="0" collapsed="false">
      <c r="A57" s="54"/>
      <c r="B57" s="47" t="str">
        <f aca="false">Освіта!$E$4</f>
        <v>Спеціальність (професія) за дипломом (свідоцтвом) </v>
      </c>
      <c r="C57" s="65" t="str">
        <f aca="false">IF(Освіта!E7 = 0, "", Освіта!E7)</f>
        <v/>
      </c>
      <c r="D57" s="66"/>
    </row>
    <row r="58" customFormat="false" ht="15" hidden="false" customHeight="false" outlineLevel="0" collapsed="false">
      <c r="A58" s="54"/>
      <c r="B58" s="47" t="str">
        <f aca="false">Освіта!$F$4</f>
        <v>Кваліфікація за дипломом (свідоцтвом)</v>
      </c>
      <c r="C58" s="65" t="str">
        <f aca="false">IF(Освіта!F7 = 0, "", Освіта!F7)</f>
        <v/>
      </c>
      <c r="D58" s="66"/>
    </row>
    <row r="59" customFormat="false" ht="15" hidden="false" customHeight="false" outlineLevel="0" collapsed="false">
      <c r="A59" s="54"/>
      <c r="B59" s="47" t="str">
        <f aca="false">Освіта!$G$4</f>
        <v>Форма навчання (денна, вечірня, заочна)</v>
      </c>
      <c r="C59" s="65" t="str">
        <f aca="false">IF(Освіта!G7 = 0, "", Освіта!G7)</f>
        <v/>
      </c>
      <c r="D59" s="66"/>
    </row>
    <row r="60" customFormat="false" ht="15" hidden="false" customHeight="false" outlineLevel="0" collapsed="false">
      <c r="A60" s="54"/>
      <c r="B60" s="47" t="str">
        <f aca="false">Освіта!$H$4</f>
        <v>Рівень освіти</v>
      </c>
      <c r="C60" s="65" t="str">
        <f aca="false">IF(Освіта!H7 = 0, "", Освіта!H7)</f>
        <v/>
      </c>
      <c r="D60" s="66"/>
    </row>
    <row r="61" customFormat="false" ht="15" hidden="false" customHeight="false" outlineLevel="0" collapsed="false">
      <c r="A61" s="54"/>
      <c r="B61" s="47" t="str">
        <f aca="false">Освіта!$A$4</f>
        <v>Назва освітнього закладу</v>
      </c>
      <c r="C61" s="65" t="str">
        <f aca="false">IF(Освіта!A8 = 0, "", Освіта!A8)</f>
        <v/>
      </c>
      <c r="D61" s="66"/>
    </row>
    <row r="62" customFormat="false" ht="15" hidden="false" customHeight="false" outlineLevel="0" collapsed="false">
      <c r="A62" s="54"/>
      <c r="B62" s="47" t="str">
        <f aca="false">Освіта!$B$4</f>
        <v>Серія дисплома (свідоцтва)</v>
      </c>
      <c r="C62" s="65" t="str">
        <f aca="false">IF(Освіта!B8 = 0, "", Освіта!B8)</f>
        <v/>
      </c>
      <c r="D62" s="66"/>
    </row>
    <row r="63" customFormat="false" ht="15" hidden="false" customHeight="false" outlineLevel="0" collapsed="false">
      <c r="A63" s="54"/>
      <c r="B63" s="47" t="str">
        <f aca="false">Освіта!$C$4</f>
        <v>Номер дисплома (свідоцтва)</v>
      </c>
      <c r="C63" s="65" t="str">
        <f aca="false">IF(Освіта!C8 = 0, "", Освіта!C8)</f>
        <v/>
      </c>
      <c r="D63" s="66"/>
    </row>
    <row r="64" customFormat="false" ht="15" hidden="false" customHeight="false" outlineLevel="0" collapsed="false">
      <c r="A64" s="54"/>
      <c r="B64" s="47" t="str">
        <f aca="false">Освіта!$D$4</f>
        <v>Рік закінчення</v>
      </c>
      <c r="C64" s="65" t="str">
        <f aca="false">IF(Освіта!D8 = 0, "", Освіта!D8)</f>
        <v/>
      </c>
      <c r="D64" s="66"/>
    </row>
    <row r="65" customFormat="false" ht="15" hidden="false" customHeight="false" outlineLevel="0" collapsed="false">
      <c r="A65" s="54"/>
      <c r="B65" s="47" t="str">
        <f aca="false">Освіта!$E$4</f>
        <v>Спеціальність (професія) за дипломом (свідоцтвом) </v>
      </c>
      <c r="C65" s="65" t="str">
        <f aca="false">IF(Освіта!E8 = 0, "", Освіта!E8)</f>
        <v/>
      </c>
      <c r="D65" s="66"/>
    </row>
    <row r="66" customFormat="false" ht="15" hidden="false" customHeight="false" outlineLevel="0" collapsed="false">
      <c r="A66" s="54"/>
      <c r="B66" s="47" t="str">
        <f aca="false">Освіта!$F$4</f>
        <v>Кваліфікація за дипломом (свідоцтвом)</v>
      </c>
      <c r="C66" s="65" t="str">
        <f aca="false">IF(Освіта!F8 = 0, "", Освіта!F8)</f>
        <v/>
      </c>
      <c r="D66" s="66"/>
    </row>
    <row r="67" customFormat="false" ht="15" hidden="false" customHeight="false" outlineLevel="0" collapsed="false">
      <c r="A67" s="54"/>
      <c r="B67" s="47" t="str">
        <f aca="false">Освіта!$G$4</f>
        <v>Форма навчання (денна, вечірня, заочна)</v>
      </c>
      <c r="C67" s="65" t="str">
        <f aca="false">IF(Освіта!G8 = 0, "", Освіта!G8)</f>
        <v/>
      </c>
      <c r="D67" s="66"/>
    </row>
    <row r="68" customFormat="false" ht="15" hidden="false" customHeight="false" outlineLevel="0" collapsed="false">
      <c r="A68" s="54"/>
      <c r="B68" s="47" t="str">
        <f aca="false">Освіта!$H$4</f>
        <v>Рівень освіти</v>
      </c>
      <c r="C68" s="65" t="str">
        <f aca="false">IF(Освіта!H8 = 0, "", Освіта!H8)</f>
        <v/>
      </c>
      <c r="D68" s="66"/>
    </row>
    <row r="69" customFormat="false" ht="15" hidden="false" customHeight="false" outlineLevel="0" collapsed="false">
      <c r="A69" s="54"/>
      <c r="B69" s="47" t="str">
        <f aca="false">Освіта!$A$12</f>
        <v>Назва освітнього, наукового  закладу</v>
      </c>
      <c r="C69" s="67" t="str">
        <f aca="false">IF(Освіта!A13 = 0, "", Освіта!A13)</f>
        <v/>
      </c>
      <c r="D69" s="66"/>
    </row>
    <row r="70" customFormat="false" ht="15" hidden="false" customHeight="false" outlineLevel="0" collapsed="false">
      <c r="A70" s="54"/>
      <c r="B70" s="47" t="str">
        <f aca="false">Освіта!$B$12</f>
        <v>Рік закінчення</v>
      </c>
      <c r="C70" s="67" t="str">
        <f aca="false">IF(Освіта!B13 = 0, "", Освіта!B13)</f>
        <v/>
      </c>
      <c r="D70" s="66"/>
    </row>
    <row r="71" customFormat="false" ht="15" hidden="false" customHeight="false" outlineLevel="0" collapsed="false">
      <c r="A71" s="54"/>
      <c r="B71" s="2" t="str">
        <f aca="false">Освіта!$C$12</f>
        <v>Рівень підготовки</v>
      </c>
      <c r="C71" s="67" t="str">
        <f aca="false">IF(Освіта!C13 = 0, "", Освіта!C13)</f>
        <v/>
      </c>
      <c r="D71" s="66"/>
    </row>
    <row r="72" customFormat="false" ht="15" hidden="false" customHeight="false" outlineLevel="0" collapsed="false">
      <c r="A72" s="54"/>
      <c r="B72" s="47" t="str">
        <f aca="false">Освіта!$A$12</f>
        <v>Назва освітнього, наукового  закладу</v>
      </c>
      <c r="C72" s="67" t="str">
        <f aca="false">IF(Освіта!A14 = 0, "", Освіта!A14)</f>
        <v/>
      </c>
      <c r="D72" s="66"/>
    </row>
    <row r="73" customFormat="false" ht="15" hidden="false" customHeight="false" outlineLevel="0" collapsed="false">
      <c r="A73" s="54"/>
      <c r="B73" s="47" t="str">
        <f aca="false">Освіта!$B$12</f>
        <v>Рік закінчення</v>
      </c>
      <c r="C73" s="67" t="str">
        <f aca="false">IF(Освіта!B14 = 0, "", Освіта!B14)</f>
        <v/>
      </c>
      <c r="D73" s="66"/>
    </row>
    <row r="74" customFormat="false" ht="15" hidden="false" customHeight="false" outlineLevel="0" collapsed="false">
      <c r="A74" s="54"/>
      <c r="B74" s="2" t="str">
        <f aca="false">Освіта!$C$12</f>
        <v>Рівень підготовки</v>
      </c>
      <c r="C74" s="67" t="str">
        <f aca="false">IF(Освіта!C14 = 0, "", Освіта!C14)</f>
        <v/>
      </c>
      <c r="D74" s="66"/>
    </row>
    <row r="75" customFormat="false" ht="15" hidden="false" customHeight="false" outlineLevel="0" collapsed="false">
      <c r="A75" s="54"/>
      <c r="B75" s="47" t="str">
        <f aca="false">Освіта!$A$12</f>
        <v>Назва освітнього, наукового  закладу</v>
      </c>
      <c r="C75" s="67" t="str">
        <f aca="false">IF(Освіта!A15 = 0, "", Освіта!A15)</f>
        <v/>
      </c>
      <c r="D75" s="66"/>
    </row>
    <row r="76" customFormat="false" ht="15" hidden="false" customHeight="false" outlineLevel="0" collapsed="false">
      <c r="A76" s="54"/>
      <c r="B76" s="47" t="str">
        <f aca="false">Освіта!$B$12</f>
        <v>Рік закінчення</v>
      </c>
      <c r="C76" s="67" t="str">
        <f aca="false">IF(Освіта!B15 = 0, "", Освіта!B15)</f>
        <v/>
      </c>
      <c r="D76" s="66"/>
    </row>
    <row r="77" customFormat="false" ht="15" hidden="false" customHeight="false" outlineLevel="0" collapsed="false">
      <c r="A77" s="54"/>
      <c r="B77" s="2" t="str">
        <f aca="false">Освіта!$C$12</f>
        <v>Рівень підготовки</v>
      </c>
      <c r="C77" s="67" t="str">
        <f aca="false">IF(Освіта!C15 = 0, "", Освіта!C15)</f>
        <v/>
      </c>
      <c r="D77" s="66"/>
    </row>
    <row r="78" customFormat="false" ht="15" hidden="false" customHeight="false" outlineLevel="0" collapsed="false">
      <c r="A78" s="54"/>
      <c r="B78" s="47" t="str">
        <f aca="false">Освіта!$A$12</f>
        <v>Назва освітнього, наукового  закладу</v>
      </c>
      <c r="C78" s="67" t="str">
        <f aca="false">IF(Освіта!A16 = 0, "", Освіта!A16)</f>
        <v/>
      </c>
      <c r="D78" s="66"/>
    </row>
    <row r="79" customFormat="false" ht="15" hidden="false" customHeight="false" outlineLevel="0" collapsed="false">
      <c r="A79" s="54"/>
      <c r="B79" s="47" t="str">
        <f aca="false">Освіта!$B$12</f>
        <v>Рік закінчення</v>
      </c>
      <c r="C79" s="67" t="str">
        <f aca="false">IF(Освіта!B16 = 0, "", Освіта!B16)</f>
        <v/>
      </c>
      <c r="D79" s="66"/>
    </row>
    <row r="80" customFormat="false" ht="15" hidden="false" customHeight="false" outlineLevel="0" collapsed="false">
      <c r="A80" s="54"/>
      <c r="B80" s="2" t="str">
        <f aca="false">Освіта!$C$12</f>
        <v>Рівень підготовки</v>
      </c>
      <c r="C80" s="67" t="str">
        <f aca="false">IF(Освіта!C16 = 0, "", Освіта!C16)</f>
        <v/>
      </c>
      <c r="D80" s="66"/>
    </row>
    <row r="81" customFormat="false" ht="15" hidden="false" customHeight="false" outlineLevel="0" collapsed="false">
      <c r="A81" s="54"/>
      <c r="B81" s="47" t="str">
        <f aca="false">Освіта!$A$12</f>
        <v>Назва освітнього, наукового  закладу</v>
      </c>
      <c r="C81" s="67" t="str">
        <f aca="false">IF(Освіта!A17 = 0, "", Освіта!A17)</f>
        <v/>
      </c>
      <c r="D81" s="66"/>
    </row>
    <row r="82" customFormat="false" ht="15" hidden="false" customHeight="false" outlineLevel="0" collapsed="false">
      <c r="A82" s="54"/>
      <c r="B82" s="47" t="str">
        <f aca="false">Освіта!$B$12</f>
        <v>Рік закінчення</v>
      </c>
      <c r="C82" s="67" t="str">
        <f aca="false">IF(Освіта!B17 = 0, "", Освіта!B17)</f>
        <v/>
      </c>
      <c r="D82" s="66"/>
    </row>
    <row r="83" customFormat="false" ht="15" hidden="false" customHeight="false" outlineLevel="0" collapsed="false">
      <c r="A83" s="54"/>
      <c r="B83" s="2" t="str">
        <f aca="false">Освіта!$C$12</f>
        <v>Рівень підготовки</v>
      </c>
      <c r="C83" s="67" t="str">
        <f aca="false">IF(Освіта!C17 = 0, "", Освіта!C17)</f>
        <v/>
      </c>
      <c r="D83" s="66"/>
    </row>
    <row r="84" customFormat="false" ht="15" hidden="false" customHeight="false" outlineLevel="0" collapsed="false">
      <c r="A84" s="54"/>
      <c r="B84" s="47" t="str">
        <f aca="false">Освіта!$A$12</f>
        <v>Назва освітнього, наукового  закладу</v>
      </c>
      <c r="C84" s="67" t="str">
        <f aca="false">IF(Освіта!A18 = 0, "", Освіта!A18)</f>
        <v/>
      </c>
      <c r="D84" s="66"/>
    </row>
    <row r="85" customFormat="false" ht="15" hidden="false" customHeight="false" outlineLevel="0" collapsed="false">
      <c r="A85" s="54"/>
      <c r="B85" s="47" t="str">
        <f aca="false">Освіта!$B$12</f>
        <v>Рік закінчення</v>
      </c>
      <c r="C85" s="67" t="str">
        <f aca="false">IF(Освіта!B18 = 0, "", Освіта!B18)</f>
        <v/>
      </c>
      <c r="D85" s="66"/>
    </row>
    <row r="86" customFormat="false" ht="15" hidden="false" customHeight="false" outlineLevel="0" collapsed="false">
      <c r="A86" s="54"/>
      <c r="B86" s="2" t="str">
        <f aca="false">Освіта!$C$12</f>
        <v>Рівень підготовки</v>
      </c>
      <c r="C86" s="67" t="str">
        <f aca="false">IF(Освіта!C18 = 0, "", Освіта!C18)</f>
        <v/>
      </c>
      <c r="D86" s="66"/>
    </row>
    <row r="87" customFormat="false" ht="15" hidden="false" customHeight="false" outlineLevel="0" collapsed="false">
      <c r="A87" s="54" t="s">
        <v>159</v>
      </c>
      <c r="B87" s="47" t="str">
        <f aca="false">Родина!$A$4</f>
        <v>Ступінь родинного зв’язку (склад сім'ї)</v>
      </c>
      <c r="C87" s="68" t="str">
        <f aca="false">IF(Родина!A5 = 0, "", Родина!A5)</f>
        <v/>
      </c>
      <c r="D87" s="66"/>
    </row>
    <row r="88" customFormat="false" ht="15" hidden="false" customHeight="false" outlineLevel="0" collapsed="false">
      <c r="A88" s="54"/>
      <c r="B88" s="47" t="str">
        <f aca="false">Родина!$B$4</f>
        <v>Прізвище</v>
      </c>
      <c r="C88" s="68" t="str">
        <f aca="false">IF(Родина!B5 = 0, "", Родина!B5)</f>
        <v/>
      </c>
      <c r="D88" s="66"/>
    </row>
    <row r="89" customFormat="false" ht="15" hidden="false" customHeight="false" outlineLevel="0" collapsed="false">
      <c r="A89" s="54"/>
      <c r="B89" s="2" t="str">
        <f aca="false">Родина!$C$4</f>
        <v>Ім’я</v>
      </c>
      <c r="C89" s="68" t="str">
        <f aca="false">IF(Родина!C5 = 0, "", Родина!C5)</f>
        <v/>
      </c>
      <c r="D89" s="66"/>
    </row>
    <row r="90" customFormat="false" ht="15" hidden="false" customHeight="false" outlineLevel="0" collapsed="false">
      <c r="A90" s="54"/>
      <c r="B90" s="47" t="str">
        <f aca="false">Родина!$D$4</f>
        <v>По-батькові</v>
      </c>
      <c r="C90" s="68" t="str">
        <f aca="false">IF(Родина!D5 = 0, "", Родина!D5)</f>
        <v/>
      </c>
      <c r="D90" s="66"/>
    </row>
    <row r="91" customFormat="false" ht="15" hidden="false" customHeight="false" outlineLevel="0" collapsed="false">
      <c r="A91" s="54"/>
      <c r="B91" s="47" t="str">
        <f aca="false">Родина!$E$4</f>
        <v>Рік народження</v>
      </c>
      <c r="C91" s="68" t="str">
        <f aca="false">IF(Родина!E5 = 0, "", Родина!E5)</f>
        <v/>
      </c>
      <c r="D91" s="66"/>
    </row>
    <row r="92" customFormat="false" ht="15" hidden="false" customHeight="false" outlineLevel="0" collapsed="false">
      <c r="A92" s="54"/>
      <c r="B92" s="47" t="str">
        <f aca="false">Родина!$A$4</f>
        <v>Ступінь родинного зв’язку (склад сім'ї)</v>
      </c>
      <c r="C92" s="68" t="str">
        <f aca="false">IF(Родина!A6 = 0, "", Родина!A6)</f>
        <v/>
      </c>
      <c r="D92" s="66"/>
    </row>
    <row r="93" customFormat="false" ht="15" hidden="false" customHeight="false" outlineLevel="0" collapsed="false">
      <c r="A93" s="54"/>
      <c r="B93" s="47" t="str">
        <f aca="false">Родина!$B$4</f>
        <v>Прізвище</v>
      </c>
      <c r="C93" s="68" t="str">
        <f aca="false">IF(Родина!B6 = 0, "", Родина!B6)</f>
        <v/>
      </c>
      <c r="D93" s="66"/>
    </row>
    <row r="94" customFormat="false" ht="15" hidden="false" customHeight="false" outlineLevel="0" collapsed="false">
      <c r="A94" s="54"/>
      <c r="B94" s="2" t="str">
        <f aca="false">Родина!$C$4</f>
        <v>Ім’я</v>
      </c>
      <c r="C94" s="68" t="str">
        <f aca="false">IF(Родина!C6 = 0, "", Родина!C6)</f>
        <v/>
      </c>
      <c r="D94" s="66"/>
    </row>
    <row r="95" customFormat="false" ht="15" hidden="false" customHeight="false" outlineLevel="0" collapsed="false">
      <c r="A95" s="54"/>
      <c r="B95" s="47" t="str">
        <f aca="false">Родина!$D$4</f>
        <v>По-батькові</v>
      </c>
      <c r="C95" s="68" t="str">
        <f aca="false">IF(Родина!D6 = 0, "", Родина!D6)</f>
        <v/>
      </c>
      <c r="D95" s="66"/>
    </row>
    <row r="96" customFormat="false" ht="15" hidden="false" customHeight="false" outlineLevel="0" collapsed="false">
      <c r="A96" s="54"/>
      <c r="B96" s="47" t="str">
        <f aca="false">Родина!$E$4</f>
        <v>Рік народження</v>
      </c>
      <c r="C96" s="68" t="str">
        <f aca="false">IF(Родина!E6 = 0, "", Родина!E6)</f>
        <v/>
      </c>
      <c r="D96" s="66"/>
    </row>
    <row r="97" customFormat="false" ht="15" hidden="false" customHeight="false" outlineLevel="0" collapsed="false">
      <c r="A97" s="54"/>
      <c r="B97" s="47" t="str">
        <f aca="false">Родина!$A$4</f>
        <v>Ступінь родинного зв’язку (склад сім'ї)</v>
      </c>
      <c r="C97" s="68" t="str">
        <f aca="false">IF(Родина!A7 = 0, "", Родина!A7)</f>
        <v/>
      </c>
      <c r="D97" s="66"/>
    </row>
    <row r="98" customFormat="false" ht="15" hidden="false" customHeight="false" outlineLevel="0" collapsed="false">
      <c r="A98" s="54"/>
      <c r="B98" s="47" t="str">
        <f aca="false">Родина!$B$4</f>
        <v>Прізвище</v>
      </c>
      <c r="C98" s="68" t="str">
        <f aca="false">IF(Родина!B7 = 0, "", Родина!B7)</f>
        <v/>
      </c>
      <c r="D98" s="66"/>
    </row>
    <row r="99" customFormat="false" ht="15" hidden="false" customHeight="false" outlineLevel="0" collapsed="false">
      <c r="A99" s="54"/>
      <c r="B99" s="2" t="str">
        <f aca="false">Родина!$C$4</f>
        <v>Ім’я</v>
      </c>
      <c r="C99" s="68" t="str">
        <f aca="false">IF(Родина!C7 = 0, "", Родина!C7)</f>
        <v/>
      </c>
      <c r="D99" s="66"/>
    </row>
    <row r="100" customFormat="false" ht="15" hidden="false" customHeight="false" outlineLevel="0" collapsed="false">
      <c r="A100" s="54"/>
      <c r="B100" s="47" t="str">
        <f aca="false">Родина!$D$4</f>
        <v>По-батькові</v>
      </c>
      <c r="C100" s="68" t="str">
        <f aca="false">IF(Родина!D7 = 0, "", Родина!D7)</f>
        <v/>
      </c>
      <c r="D100" s="66"/>
    </row>
    <row r="101" customFormat="false" ht="15" hidden="false" customHeight="false" outlineLevel="0" collapsed="false">
      <c r="A101" s="54"/>
      <c r="B101" s="47" t="str">
        <f aca="false">Родина!$E$4</f>
        <v>Рік народження</v>
      </c>
      <c r="C101" s="68" t="str">
        <f aca="false">IF(Родина!E7 = 0, "", Родина!E7)</f>
        <v/>
      </c>
      <c r="D101" s="66"/>
    </row>
    <row r="102" customFormat="false" ht="15" hidden="false" customHeight="false" outlineLevel="0" collapsed="false">
      <c r="A102" s="54"/>
      <c r="B102" s="47" t="str">
        <f aca="false">Родина!$A$4</f>
        <v>Ступінь родинного зв’язку (склад сім'ї)</v>
      </c>
      <c r="C102" s="68" t="str">
        <f aca="false">IF(Родина!A8 = 0, "", Родина!A8)</f>
        <v/>
      </c>
      <c r="D102" s="66"/>
    </row>
    <row r="103" customFormat="false" ht="15" hidden="false" customHeight="false" outlineLevel="0" collapsed="false">
      <c r="A103" s="54"/>
      <c r="B103" s="47" t="str">
        <f aca="false">Родина!$B$4</f>
        <v>Прізвище</v>
      </c>
      <c r="C103" s="68" t="str">
        <f aca="false">IF(Родина!B8 = 0, "", Родина!B8)</f>
        <v/>
      </c>
      <c r="D103" s="66"/>
    </row>
    <row r="104" customFormat="false" ht="15" hidden="false" customHeight="false" outlineLevel="0" collapsed="false">
      <c r="A104" s="54"/>
      <c r="B104" s="2" t="str">
        <f aca="false">Родина!$C$4</f>
        <v>Ім’я</v>
      </c>
      <c r="C104" s="68" t="str">
        <f aca="false">IF(Родина!C8 = 0, "", Родина!C8)</f>
        <v/>
      </c>
      <c r="D104" s="66"/>
    </row>
    <row r="105" customFormat="false" ht="15" hidden="false" customHeight="false" outlineLevel="0" collapsed="false">
      <c r="A105" s="54"/>
      <c r="B105" s="47" t="str">
        <f aca="false">Родина!$D$4</f>
        <v>По-батькові</v>
      </c>
      <c r="C105" s="68" t="str">
        <f aca="false">IF(Родина!D8 = 0, "", Родина!D8)</f>
        <v/>
      </c>
      <c r="D105" s="66"/>
    </row>
    <row r="106" customFormat="false" ht="15" hidden="false" customHeight="false" outlineLevel="0" collapsed="false">
      <c r="A106" s="54"/>
      <c r="B106" s="47" t="str">
        <f aca="false">Родина!$E$4</f>
        <v>Рік народження</v>
      </c>
      <c r="C106" s="68" t="str">
        <f aca="false">IF(Родина!E8 = 0, "", Родина!E8)</f>
        <v/>
      </c>
      <c r="D106" s="66"/>
    </row>
    <row r="107" customFormat="false" ht="15" hidden="false" customHeight="false" outlineLevel="0" collapsed="false">
      <c r="A107" s="54"/>
      <c r="B107" s="47" t="str">
        <f aca="false">Родина!$A$4</f>
        <v>Ступінь родинного зв’язку (склад сім'ї)</v>
      </c>
      <c r="C107" s="68" t="str">
        <f aca="false">IF(Родина!A9 = 0, "", Родина!A9)</f>
        <v/>
      </c>
      <c r="D107" s="66"/>
    </row>
    <row r="108" customFormat="false" ht="15" hidden="false" customHeight="false" outlineLevel="0" collapsed="false">
      <c r="A108" s="54"/>
      <c r="B108" s="47" t="str">
        <f aca="false">Родина!$B$4</f>
        <v>Прізвище</v>
      </c>
      <c r="C108" s="68" t="str">
        <f aca="false">IF(Родина!B9 = 0, "", Родина!B9)</f>
        <v/>
      </c>
      <c r="D108" s="66"/>
    </row>
    <row r="109" customFormat="false" ht="15" hidden="false" customHeight="false" outlineLevel="0" collapsed="false">
      <c r="A109" s="54"/>
      <c r="B109" s="2" t="str">
        <f aca="false">Родина!$C$4</f>
        <v>Ім’я</v>
      </c>
      <c r="C109" s="68" t="str">
        <f aca="false">IF(Родина!C9 = 0, "", Родина!C9)</f>
        <v/>
      </c>
      <c r="D109" s="66"/>
    </row>
    <row r="110" customFormat="false" ht="15" hidden="false" customHeight="false" outlineLevel="0" collapsed="false">
      <c r="A110" s="54"/>
      <c r="B110" s="47" t="str">
        <f aca="false">Родина!$D$4</f>
        <v>По-батькові</v>
      </c>
      <c r="C110" s="68" t="str">
        <f aca="false">IF(Родина!D9 = 0, "", Родина!D9)</f>
        <v/>
      </c>
      <c r="D110" s="66"/>
    </row>
    <row r="111" customFormat="false" ht="15" hidden="false" customHeight="false" outlineLevel="0" collapsed="false">
      <c r="A111" s="54"/>
      <c r="B111" s="47" t="str">
        <f aca="false">Родина!$E$4</f>
        <v>Рік народження</v>
      </c>
      <c r="C111" s="68" t="str">
        <f aca="false">IF(Родина!E9 = 0, "", Родина!E9)</f>
        <v/>
      </c>
      <c r="D111" s="66"/>
    </row>
    <row r="112" customFormat="false" ht="15" hidden="false" customHeight="false" outlineLevel="0" collapsed="false">
      <c r="A112" s="54"/>
      <c r="B112" s="47" t="str">
        <f aca="false">Родина!$A$4</f>
        <v>Ступінь родинного зв’язку (склад сім'ї)</v>
      </c>
      <c r="C112" s="68" t="str">
        <f aca="false">IF(Родина!A10 = 0, "", Родина!A10)</f>
        <v/>
      </c>
      <c r="D112" s="66"/>
    </row>
    <row r="113" customFormat="false" ht="15" hidden="false" customHeight="false" outlineLevel="0" collapsed="false">
      <c r="A113" s="54"/>
      <c r="B113" s="47" t="str">
        <f aca="false">Родина!$B$4</f>
        <v>Прізвище</v>
      </c>
      <c r="C113" s="68" t="str">
        <f aca="false">IF(Родина!B10 = 0, "", Родина!B10)</f>
        <v/>
      </c>
      <c r="D113" s="66"/>
    </row>
    <row r="114" customFormat="false" ht="15" hidden="false" customHeight="false" outlineLevel="0" collapsed="false">
      <c r="A114" s="54"/>
      <c r="B114" s="2" t="str">
        <f aca="false">Родина!$C$4</f>
        <v>Ім’я</v>
      </c>
      <c r="C114" s="68" t="str">
        <f aca="false">IF(Родина!C10 = 0, "", Родина!C10)</f>
        <v/>
      </c>
      <c r="D114" s="66"/>
    </row>
    <row r="115" customFormat="false" ht="15" hidden="false" customHeight="false" outlineLevel="0" collapsed="false">
      <c r="A115" s="54"/>
      <c r="B115" s="47" t="str">
        <f aca="false">Родина!$D$4</f>
        <v>По-батькові</v>
      </c>
      <c r="C115" s="68" t="str">
        <f aca="false">IF(Родина!D10 = 0, "", Родина!D10)</f>
        <v/>
      </c>
      <c r="D115" s="66"/>
    </row>
    <row r="116" customFormat="false" ht="15" hidden="false" customHeight="false" outlineLevel="0" collapsed="false">
      <c r="A116" s="54"/>
      <c r="B116" s="47" t="str">
        <f aca="false">Родина!$E$4</f>
        <v>Рік народження</v>
      </c>
      <c r="C116" s="68" t="str">
        <f aca="false">IF(Родина!E10 = 0, "", Родина!E10)</f>
        <v/>
      </c>
      <c r="D116" s="66"/>
    </row>
    <row r="117" customFormat="false" ht="15" hidden="false" customHeight="false" outlineLevel="0" collapsed="false">
      <c r="A117" s="54" t="s">
        <v>160</v>
      </c>
      <c r="B117" s="47" t="str">
        <f aca="false">Документи!A4</f>
        <v>Тип документу</v>
      </c>
      <c r="C117" s="55" t="str">
        <f aca="false">IF(Документи!B4 = 0, "", Документи!B4)</f>
        <v/>
      </c>
      <c r="D117" s="56"/>
    </row>
    <row r="118" customFormat="false" ht="15" hidden="false" customHeight="false" outlineLevel="0" collapsed="false">
      <c r="A118" s="54"/>
      <c r="B118" s="47" t="str">
        <f aca="false">Документи!A5</f>
        <v>Серія та номер </v>
      </c>
      <c r="C118" s="56" t="str">
        <f aca="false">IF(Документи!B5 = 0, "", Документи!B5)</f>
        <v/>
      </c>
      <c r="D118" s="56"/>
    </row>
    <row r="119" customFormat="false" ht="15" hidden="false" customHeight="false" outlineLevel="0" collapsed="false">
      <c r="A119" s="54"/>
      <c r="B119" s="47" t="str">
        <f aca="false">Документи!A6</f>
        <v>Ким виданий</v>
      </c>
      <c r="C119" s="56" t="str">
        <f aca="false">IF(Документи!B6 = 0, "", Документи!B6)</f>
        <v/>
      </c>
      <c r="D119" s="56"/>
    </row>
    <row r="120" customFormat="false" ht="15" hidden="false" customHeight="false" outlineLevel="0" collapsed="false">
      <c r="A120" s="54"/>
      <c r="B120" s="47" t="str">
        <f aca="false">Документи!A7</f>
        <v>Дата видачі</v>
      </c>
      <c r="C120" s="56" t="str">
        <f aca="false">IF(Документи!B7 = 0, "", Документи!B7)</f>
        <v/>
      </c>
      <c r="D120" s="56"/>
    </row>
    <row r="121" customFormat="false" ht="15" hidden="false" customHeight="false" outlineLevel="0" collapsed="false">
      <c r="A121" s="54"/>
      <c r="B121" s="47" t="str">
        <f aca="false">Документи!A10</f>
        <v>Тип документу</v>
      </c>
      <c r="C121" s="55" t="str">
        <f aca="false">IF(Документи!B10 = 0, "", Документи!B10)</f>
        <v/>
      </c>
      <c r="D121" s="56"/>
    </row>
    <row r="122" customFormat="false" ht="15" hidden="false" customHeight="false" outlineLevel="0" collapsed="false">
      <c r="A122" s="54"/>
      <c r="B122" s="47" t="str">
        <f aca="false">Документи!A11</f>
        <v>Серія та номер </v>
      </c>
      <c r="C122" s="56" t="str">
        <f aca="false">IF(Документи!B11 = 0, "", Документи!B11)</f>
        <v/>
      </c>
      <c r="D122" s="56"/>
    </row>
    <row r="123" customFormat="false" ht="15" hidden="false" customHeight="false" outlineLevel="0" collapsed="false">
      <c r="A123" s="54"/>
      <c r="B123" s="47" t="str">
        <f aca="false">Документи!A12</f>
        <v>Ким виданий</v>
      </c>
      <c r="C123" s="56" t="str">
        <f aca="false">IF(Документи!B12 = 0, "", Документи!B12)</f>
        <v/>
      </c>
      <c r="D123" s="56"/>
    </row>
    <row r="124" customFormat="false" ht="15" hidden="false" customHeight="false" outlineLevel="0" collapsed="false">
      <c r="A124" s="54"/>
      <c r="B124" s="47" t="str">
        <f aca="false">Документи!A13</f>
        <v>Дата видачі</v>
      </c>
      <c r="C124" s="56" t="str">
        <f aca="false">IF(Документи!B13 = 0, "", Документи!B13)</f>
        <v/>
      </c>
      <c r="D124" s="56"/>
    </row>
    <row r="125" customFormat="false" ht="15" hidden="false" customHeight="false" outlineLevel="0" collapsed="false">
      <c r="A125" s="54"/>
      <c r="B125" s="47" t="s">
        <v>161</v>
      </c>
      <c r="C125" s="56" t="str">
        <f aca="false">IF(D125 = 0, "", D125)</f>
        <v/>
      </c>
      <c r="D125" s="56"/>
    </row>
    <row r="126" customFormat="false" ht="15" hidden="false" customHeight="false" outlineLevel="0" collapsed="false">
      <c r="A126" s="54"/>
      <c r="B126" s="47" t="str">
        <f aca="false">Документи!A16</f>
        <v>Серія та номер </v>
      </c>
      <c r="C126" s="55" t="str">
        <f aca="false">IF(Документи!B16 = 0, "", Документи!B16)</f>
        <v/>
      </c>
      <c r="D126" s="56"/>
    </row>
    <row r="127" customFormat="false" ht="15" hidden="false" customHeight="false" outlineLevel="0" collapsed="false">
      <c r="A127" s="54"/>
      <c r="B127" s="47" t="str">
        <f aca="false">Документи!A17</f>
        <v>Ким виданий</v>
      </c>
      <c r="C127" s="56" t="str">
        <f aca="false">IF(Документи!B17 = 0, "", Документи!B17)</f>
        <v/>
      </c>
      <c r="D127" s="56"/>
    </row>
    <row r="128" customFormat="false" ht="15" hidden="false" customHeight="false" outlineLevel="0" collapsed="false">
      <c r="A128" s="54"/>
      <c r="B128" s="47" t="str">
        <f aca="false">Документи!A18</f>
        <v>Дата видачі</v>
      </c>
      <c r="C128" s="56" t="str">
        <f aca="false">IF(Документи!B18 = 0, "", Документи!B18)</f>
        <v/>
      </c>
      <c r="D128" s="56"/>
    </row>
    <row r="129" customFormat="false" ht="15" hidden="false" customHeight="false" outlineLevel="0" collapsed="false">
      <c r="A129" s="2"/>
    </row>
    <row r="130" customFormat="false" ht="15" hidden="false" customHeight="false" outlineLevel="0" collapsed="false">
      <c r="A130" s="2"/>
    </row>
  </sheetData>
  <mergeCells count="11">
    <mergeCell ref="G1:N1"/>
    <mergeCell ref="Q1:T1"/>
    <mergeCell ref="A2:A23"/>
    <mergeCell ref="O2:O16"/>
    <mergeCell ref="G7:I7"/>
    <mergeCell ref="G15:K15"/>
    <mergeCell ref="O17:O28"/>
    <mergeCell ref="A24:A36"/>
    <mergeCell ref="A37:A86"/>
    <mergeCell ref="A87:A116"/>
    <mergeCell ref="A117:A128"/>
  </mergeCells>
  <dataValidations count="3">
    <dataValidation allowBlank="true" errorStyle="stop" operator="equal" showDropDown="false" showErrorMessage="true" showInputMessage="true" sqref="G16:K21" type="none">
      <formula1>0</formula1>
      <formula2>0</formula2>
    </dataValidation>
    <dataValidation allowBlank="true" errorStyle="stop" operator="equal" showDropDown="false" showErrorMessage="true" showInputMessage="false" sqref="D37:D41" type="list">
      <formula1>'Системна інформація'!$Q$27:$ZA$27</formula1>
      <formula2>0</formula2>
    </dataValidation>
    <dataValidation allowBlank="false" errorStyle="stop" operator="equal" showDropDown="false" showErrorMessage="true" showInputMessage="false" sqref="D43" type="list">
      <formula1>'Системна інформація'!$Q$11:$ZA$11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&amp;C&amp;Kffffff&amp;A</oddHeader>
    <oddFooter>&amp;C&amp;KffffffPage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1149</TotalTime>
  <Application>LibreOffice/24.8.2.1$Linux_X86_64 LibreOffice_project/480$Build-1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2024-09-16T18:43:51Z</dcterms:created>
  <dc:creator>Windows User</dc:creator>
  <dc:description/>
  <dc:language>en-US</dc:language>
  <cp:lastModifiedBy/>
  <dcterms:modified xsi:type="dcterms:W3CDTF">2024-11-13T21:07:26Z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