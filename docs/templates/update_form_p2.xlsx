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<sst xmlns="http://schemas.openxmlformats.org/spreadsheetml/2006/main" count="232" uniqueCount="165">
  <si>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</si>
  <si>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</si>
  <si>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</si>
  <si>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</si>
  <si>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</si>
  <si>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</si>
  <si>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</si>
  <si>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</si>
  <si>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</si>
  <si>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</si>
  <si>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</si>
  <si>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</si>
  <si>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</si>
  <si>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</si>
  <si>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</si>
  <si>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</si>
  <si>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</si>
  <si>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</si>
  <si>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</si>
  <si>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</si>
  <si>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</si>
  <si>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</si>
  <si>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</si>
  <si>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</si>
  <si>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</si>
  <si>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</si>
  <si>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</si>
  <si>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</si>
  <si>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</si>
  <si>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</si>
  <si>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</si>
  <si>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</si>
  <si>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</si>
  <si>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</si>
  <si>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</si>
  <si>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</si>
  <si>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</si>
  <si>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</si>
  <si>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</si>
  <si>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</si>
  <si>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</si>
  <si>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</si>
  <si>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</si>
  <si>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</si>
  <si>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</si>
  <si>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</si>
  <si>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</si>
  <si>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</si>
  <si>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</si>
  <si>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</si>
  <si>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</si>
  <si>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</si>
  <si>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</si>
  <si>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</si>
  <si>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</si>
  <si>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</si>
  <si>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</si>
  <si>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</si>
  <si>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</si>
  <si>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</si>
  <si>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</si>
  <si>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</si>
  <si>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</si>
  <si>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</si>
  <si>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</si>
  <si>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</si>
  <si>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</si>
  <si>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</si>
  <si>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</si>
  <si>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</si>
  <si>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</si>
  <si>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</si>
  <si>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</si>
  <si>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</si>
  <si>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Серія дисплома</t>
  </si>
  <si>
    <t xml:space="preserve">Номер диплома</t>
  </si>
  <si>
    <t xml:space="preserve">Дата видачі диплома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</si>
  <si>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</si>
  <si>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</si>
  <si>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</si>
  <si>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</si>
  <si>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</si>
  <si>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</si>
  <si>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</si>
  <si>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</si>
  <si>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</si>
  <si>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</si>
  <si>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</si>
  <si>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</si>
  <si>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</si>
  <si>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</si>
  <si>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</si>
  <si>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</si>
  <si>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</si>
  <si>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</si>
  <si>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</si>
  <si>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</si>
  <si>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</si>
  <si>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</si>
  <si>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</si>
  <si>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</si>
  <si>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</si>
  <si>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</si>
  <si>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</si>
  <si>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</si>
  <si>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</si>
  <si>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</si>
  <si>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</si>
  <si>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</si>
  <si>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</si>
  <si>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</si>
  <si>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</si>
  <si>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</si>
  <si>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</si>
  <si>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ППС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</si>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</sst>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B22" activeCellId="0" sqref="B22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8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35" customFormat="false" ht="26.85" hidden="false" customHeight="false" outlineLevel="0" collapsed="false">
      <c r="A35" s="9" t="s">
        <v>42</v>
      </c>
      <c r="B35" s="13"/>
      <c r="C35" s="2" t="str">
        <f aca="false">IF('Системна інформація'!D24 = 0, "", 'Системна інформація'!D24)</f>
        <v/>
      </c>
      <c r="D35" s="12" t="s">
        <v>39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equal" showDropDown="false" showErrorMessage="fals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false" showInputMessage="true" sqref="B35" type="list">
      <formula1>'Системна інформація'!$Q$8:$ZA$8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35" activeCellId="0" sqref="F35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43</v>
      </c>
    </row>
    <row r="3" customFormat="false" ht="15" hidden="false" customHeight="false" outlineLevel="0" collapsed="false">
      <c r="A3" s="21" t="s">
        <v>44</v>
      </c>
      <c r="B3" s="16"/>
      <c r="C3" s="22"/>
      <c r="D3" s="22"/>
    </row>
    <row r="4" customFormat="false" ht="15" hidden="false" customHeight="false" outlineLevel="0" collapsed="false">
      <c r="A4" s="23" t="s">
        <v>45</v>
      </c>
      <c r="B4" s="24"/>
      <c r="C4" s="22" t="str">
        <f aca="false">IF('Системна інформація'!D25 = 0, "", 'Системна інформація'!D25)</f>
        <v/>
      </c>
      <c r="D4" s="25" t="s">
        <v>46</v>
      </c>
    </row>
    <row r="5" customFormat="false" ht="15" hidden="false" customHeight="false" outlineLevel="0" collapsed="false">
      <c r="A5" s="26" t="s">
        <v>47</v>
      </c>
      <c r="B5" s="27"/>
      <c r="C5" s="22" t="str">
        <f aca="false">IF('Системна інформація'!D26 = 0, "", 'Системна інформація'!D26)</f>
        <v/>
      </c>
      <c r="D5" s="20" t="s">
        <v>48</v>
      </c>
    </row>
    <row r="6" customFormat="false" ht="15" hidden="false" customHeight="false" outlineLevel="0" collapsed="false">
      <c r="A6" s="26" t="s">
        <v>49</v>
      </c>
      <c r="B6" s="27"/>
      <c r="C6" s="22" t="str">
        <f aca="false">IF('Системна інформація'!D27 = 0, "", 'Системна інформація'!D27)</f>
        <v/>
      </c>
      <c r="D6" s="20" t="s">
        <v>27</v>
      </c>
    </row>
    <row r="7" customFormat="false" ht="15" hidden="false" customHeight="false" outlineLevel="0" collapsed="false">
      <c r="A7" s="26" t="s">
        <v>50</v>
      </c>
      <c r="B7" s="27"/>
      <c r="C7" s="22" t="str">
        <f aca="false">IF('Системна інформація'!D28 = 0, "", 'Системна інформація'!D28)</f>
        <v/>
      </c>
      <c r="D7" s="20" t="s">
        <v>51</v>
      </c>
    </row>
    <row r="8" s="25" customFormat="true" ht="26.85" hidden="false" customHeight="false" outlineLevel="0" collapsed="false">
      <c r="A8" s="28" t="s">
        <v>52</v>
      </c>
      <c r="B8" s="27"/>
      <c r="C8" s="22" t="str">
        <f aca="false">IF('Системна інформація'!D29 = 0, "", 'Системна інформація'!D29)</f>
        <v/>
      </c>
      <c r="D8" s="20"/>
    </row>
    <row r="9" s="25" customFormat="true" ht="15" hidden="false" customHeight="false" outlineLevel="0" collapsed="false">
      <c r="A9" s="26" t="s">
        <v>53</v>
      </c>
      <c r="B9" s="27"/>
      <c r="C9" s="22" t="str">
        <f aca="false">IF('Системна інформація'!D30 = 0, "", 'Системна інформація'!D30)</f>
        <v/>
      </c>
      <c r="D9" s="20" t="s">
        <v>54</v>
      </c>
    </row>
    <row r="10" s="25" customFormat="true" ht="15" hidden="false" customHeight="false" outlineLevel="0" collapsed="false">
      <c r="A10" s="29"/>
      <c r="B10" s="30"/>
      <c r="C10" s="2"/>
      <c r="D10" s="20"/>
    </row>
    <row r="11" s="25" customFormat="true" ht="15" hidden="false" customHeight="false" outlineLevel="0" collapsed="false">
      <c r="A11" s="21" t="s">
        <v>55</v>
      </c>
      <c r="B11" s="1"/>
      <c r="C11" s="2"/>
      <c r="D11" s="20"/>
    </row>
    <row r="12" customFormat="false" ht="26.85" hidden="false" customHeight="false" outlineLevel="0" collapsed="false">
      <c r="A12" s="28" t="s">
        <v>56</v>
      </c>
      <c r="B12" s="27"/>
      <c r="C12" s="22" t="str">
        <f aca="false">IF('Системна інформація'!D31 = 0, "", 'Системна інформація'!D31)</f>
        <v/>
      </c>
      <c r="D12" s="20" t="s">
        <v>57</v>
      </c>
    </row>
    <row r="13" customFormat="false" ht="26.85" hidden="false" customHeight="false" outlineLevel="0" collapsed="false">
      <c r="A13" s="28" t="s">
        <v>58</v>
      </c>
      <c r="B13" s="27"/>
      <c r="C13" s="22" t="str">
        <f aca="false">IF('Системна інформація'!D32 = 0, "", 'Системна інформація'!D32)</f>
        <v/>
      </c>
      <c r="D13" s="20" t="s">
        <v>57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21" t="s">
        <v>59</v>
      </c>
      <c r="B15" s="16"/>
      <c r="C15" s="2"/>
      <c r="D15" s="22"/>
    </row>
    <row r="16" customFormat="false" ht="26.85" hidden="false" customHeight="false" outlineLevel="0" collapsed="false">
      <c r="A16" s="31" t="s">
        <v>60</v>
      </c>
      <c r="B16" s="24"/>
      <c r="C16" s="22" t="str">
        <f aca="false">IF('Системна інформація'!D33 = 0, "", 'Системна інформація'!D33)</f>
        <v/>
      </c>
      <c r="D16" s="22" t="s">
        <v>12</v>
      </c>
    </row>
    <row r="17" customFormat="false" ht="15" hidden="false" customHeight="false" outlineLevel="0" collapsed="false">
      <c r="A17" s="22"/>
      <c r="B17" s="2"/>
      <c r="C17" s="2"/>
      <c r="D17" s="22"/>
    </row>
    <row r="18" customFormat="false" ht="15" hidden="false" customHeight="false" outlineLevel="0" collapsed="false">
      <c r="A18" s="23" t="s">
        <v>45</v>
      </c>
      <c r="B18" s="24"/>
      <c r="C18" s="22" t="str">
        <f aca="false">IF('Системна інформація'!D34 = 0, "", 'Системна інформація'!D34)</f>
        <v/>
      </c>
      <c r="D18" s="25" t="s">
        <v>46</v>
      </c>
    </row>
    <row r="19" customFormat="false" ht="15" hidden="false" customHeight="false" outlineLevel="0" collapsed="false">
      <c r="A19" s="26" t="s">
        <v>47</v>
      </c>
      <c r="B19" s="27"/>
      <c r="C19" s="22" t="str">
        <f aca="false">IF('Системна інформація'!D35 = 0, "", 'Системна інформація'!D35)</f>
        <v/>
      </c>
      <c r="D19" s="20" t="s">
        <v>48</v>
      </c>
    </row>
    <row r="20" customFormat="false" ht="15" hidden="false" customHeight="false" outlineLevel="0" collapsed="false">
      <c r="A20" s="26" t="s">
        <v>49</v>
      </c>
      <c r="B20" s="27"/>
      <c r="C20" s="22" t="str">
        <f aca="false">IF('Системна інформація'!D36 = 0, "", 'Системна інформація'!D36)</f>
        <v/>
      </c>
      <c r="D20" s="20" t="s">
        <v>27</v>
      </c>
    </row>
    <row r="21" customFormat="false" ht="15" hidden="false" customHeight="false" outlineLevel="0" collapsed="false">
      <c r="A21" s="26" t="s">
        <v>50</v>
      </c>
      <c r="B21" s="27"/>
      <c r="C21" s="22" t="str">
        <f aca="false">IF('Системна інформація'!D37 = 0, "", 'Системна інформація'!D37)</f>
        <v/>
      </c>
      <c r="D21" s="20" t="s">
        <v>51</v>
      </c>
    </row>
    <row r="22" customFormat="false" ht="26.85" hidden="false" customHeight="false" outlineLevel="0" collapsed="false">
      <c r="A22" s="28" t="s">
        <v>52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53</v>
      </c>
      <c r="B23" s="27"/>
      <c r="C23" s="22" t="str">
        <f aca="false">IF('Системна інформація'!D39 = 0, "", 'Системна інформація'!D39)</f>
        <v/>
      </c>
      <c r="D23" s="20" t="s">
        <v>54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4">
    <dataValidation allowBlank="false" errorStyle="stop" operator="equal" showDropDown="false" showErrorMessage="true" showInputMessage="false" sqref="B4 B18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false" sqref="B5 B19" type="list">
      <formula1>'Системна інформація'!$Q$26:$ZA$26</formula1>
      <formula2>0</formula2>
    </dataValidation>
    <dataValidation allowBlank="false" errorStyle="stop" operator="equal" showDropDown="false" showErrorMessage="true" showInputMessage="false" sqref="B7 B2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true" sqref="B16" type="list">
      <formula1>'Системна інформація'!$Q$9:$R$9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0" sqref="A13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61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62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63</v>
      </c>
      <c r="B4" s="36" t="s">
        <v>64</v>
      </c>
      <c r="C4" s="36" t="s">
        <v>65</v>
      </c>
      <c r="D4" s="36" t="s">
        <v>66</v>
      </c>
      <c r="E4" s="35" t="s">
        <v>67</v>
      </c>
      <c r="F4" s="35" t="s">
        <v>68</v>
      </c>
      <c r="G4" s="36" t="s">
        <v>69</v>
      </c>
      <c r="H4" s="36" t="s">
        <v>70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  <c r="H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  <c r="H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  <c r="H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  <c r="H8" s="38"/>
    </row>
    <row r="9" customFormat="false" ht="15" hidden="false" customHeight="false" outlineLevel="0" collapsed="false">
      <c r="A9" s="33"/>
      <c r="B9" s="33"/>
      <c r="D9" s="39" t="s">
        <v>71</v>
      </c>
      <c r="E9" s="33"/>
      <c r="F9" s="33"/>
      <c r="G9" s="39" t="s">
        <v>12</v>
      </c>
      <c r="H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72</v>
      </c>
      <c r="B11" s="33"/>
      <c r="C11" s="33"/>
      <c r="D11" s="33"/>
      <c r="E11" s="33"/>
      <c r="F11" s="33"/>
      <c r="G11" s="33"/>
    </row>
    <row r="12" customFormat="false" ht="37.3" hidden="false" customHeight="true" outlineLevel="0" collapsed="false">
      <c r="A12" s="35" t="s">
        <v>73</v>
      </c>
      <c r="B12" s="35" t="s">
        <v>74</v>
      </c>
      <c r="C12" s="35" t="s">
        <v>75</v>
      </c>
      <c r="D12" s="35" t="s">
        <v>76</v>
      </c>
      <c r="E12" s="35" t="s">
        <v>66</v>
      </c>
      <c r="F12" s="36" t="s">
        <v>77</v>
      </c>
      <c r="G12" s="35" t="s">
        <v>78</v>
      </c>
    </row>
    <row r="13" customFormat="false" ht="15" hidden="false" customHeight="false" outlineLevel="0" collapsed="false">
      <c r="A13" s="37"/>
      <c r="B13" s="40"/>
      <c r="C13" s="40"/>
      <c r="D13" s="40"/>
      <c r="E13" s="40"/>
      <c r="F13" s="40"/>
      <c r="G13" s="40"/>
    </row>
    <row r="14" customFormat="false" ht="15" hidden="false" customHeight="false" outlineLevel="0" collapsed="false">
      <c r="A14" s="37"/>
      <c r="B14" s="40"/>
      <c r="C14" s="40"/>
      <c r="D14" s="40"/>
      <c r="E14" s="40"/>
      <c r="F14" s="40"/>
      <c r="G14" s="40"/>
    </row>
    <row r="15" customFormat="false" ht="15" hidden="false" customHeight="false" outlineLevel="0" collapsed="false">
      <c r="A15" s="37"/>
      <c r="B15" s="40"/>
      <c r="C15" s="40"/>
      <c r="D15" s="40"/>
      <c r="E15" s="40"/>
      <c r="F15" s="40"/>
      <c r="G15" s="40"/>
    </row>
    <row r="16" customFormat="false" ht="15" hidden="false" customHeight="false" outlineLevel="0" collapsed="false">
      <c r="A16" s="37"/>
      <c r="B16" s="40"/>
      <c r="C16" s="40"/>
      <c r="D16" s="40"/>
      <c r="E16" s="40"/>
      <c r="F16" s="40"/>
      <c r="G16" s="40"/>
    </row>
    <row r="17" customFormat="false" ht="15" hidden="false" customHeight="false" outlineLevel="0" collapsed="false">
      <c r="A17" s="37"/>
      <c r="B17" s="40"/>
      <c r="C17" s="40"/>
      <c r="D17" s="40"/>
      <c r="E17" s="40"/>
      <c r="F17" s="40"/>
      <c r="G17" s="40"/>
    </row>
    <row r="18" customFormat="false" ht="15" hidden="false" customHeight="false" outlineLevel="0" collapsed="false">
      <c r="A18" s="37"/>
      <c r="B18" s="40"/>
      <c r="C18" s="40"/>
      <c r="D18" s="40"/>
      <c r="E18" s="40"/>
      <c r="F18" s="40"/>
      <c r="G18" s="40"/>
    </row>
    <row r="19" customFormat="false" ht="15" hidden="false" customHeight="false" outlineLevel="0" collapsed="false">
      <c r="A19" s="33"/>
      <c r="B19" s="33"/>
      <c r="E19" s="39" t="s">
        <v>71</v>
      </c>
      <c r="F19" s="39" t="s">
        <v>12</v>
      </c>
      <c r="G19" s="39" t="s">
        <v>12</v>
      </c>
    </row>
  </sheetData>
  <dataValidations count="6">
    <dataValidation allowBlank="false" errorStyle="stop" operator="equal" showDropDown="false" showErrorMessage="true" showInputMessage="true" sqref="F13:F18" type="list">
      <formula1>'Системна інформація'!$Q$12:$ZA$12</formula1>
      <formula2>0</formula2>
    </dataValidation>
    <dataValidation allowBlank="false" errorStyle="stop" operator="equal" showDropDown="false" showErrorMessage="true" showInputMessage="true" sqref="G13:G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5" activeCellId="0" sqref="A5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1" t="s">
        <v>79</v>
      </c>
    </row>
    <row r="3" customFormat="false" ht="15" hidden="false" customHeight="false" outlineLevel="0" collapsed="false">
      <c r="A3" s="42" t="s">
        <v>80</v>
      </c>
      <c r="B3" s="42"/>
      <c r="C3" s="42"/>
      <c r="D3" s="42"/>
      <c r="E3" s="42"/>
    </row>
    <row r="4" customFormat="false" ht="26.85" hidden="false" customHeight="false" outlineLevel="0" collapsed="false">
      <c r="A4" s="43" t="s">
        <v>81</v>
      </c>
      <c r="B4" s="44" t="s">
        <v>5</v>
      </c>
      <c r="C4" s="44" t="s">
        <v>6</v>
      </c>
      <c r="D4" s="44" t="s">
        <v>82</v>
      </c>
      <c r="E4" s="44" t="s">
        <v>83</v>
      </c>
    </row>
    <row r="5" customFormat="false" ht="15" hidden="false" customHeight="false" outlineLevel="0" collapsed="false">
      <c r="A5" s="45"/>
      <c r="B5" s="46"/>
      <c r="C5" s="46"/>
      <c r="D5" s="46"/>
      <c r="E5" s="46"/>
    </row>
    <row r="6" customFormat="false" ht="15" hidden="false" customHeight="false" outlineLevel="0" collapsed="false">
      <c r="A6" s="45"/>
      <c r="B6" s="46"/>
      <c r="C6" s="46"/>
      <c r="D6" s="46"/>
      <c r="E6" s="46"/>
    </row>
    <row r="7" customFormat="false" ht="15" hidden="false" customHeight="false" outlineLevel="0" collapsed="false">
      <c r="A7" s="45"/>
      <c r="B7" s="46"/>
      <c r="C7" s="46"/>
      <c r="D7" s="46"/>
      <c r="E7" s="46"/>
    </row>
    <row r="8" customFormat="false" ht="15" hidden="false" customHeight="false" outlineLevel="0" collapsed="false">
      <c r="A8" s="45"/>
      <c r="B8" s="46"/>
      <c r="C8" s="46"/>
      <c r="D8" s="46"/>
      <c r="E8" s="46"/>
    </row>
    <row r="9" customFormat="false" ht="15" hidden="false" customHeight="false" outlineLevel="0" collapsed="false">
      <c r="A9" s="45"/>
      <c r="B9" s="46"/>
      <c r="C9" s="46"/>
      <c r="D9" s="46"/>
      <c r="E9" s="46"/>
    </row>
    <row r="10" customFormat="false" ht="15" hidden="false" customHeight="false" outlineLevel="0" collapsed="false">
      <c r="A10" s="45"/>
      <c r="B10" s="46"/>
      <c r="C10" s="46"/>
      <c r="D10" s="46"/>
      <c r="E10" s="46"/>
    </row>
    <row r="11" customFormat="false" ht="15" hidden="false" customHeight="false" outlineLevel="0" collapsed="false">
      <c r="A11" s="2" t="s">
        <v>12</v>
      </c>
      <c r="E11" s="2" t="s">
        <v>84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85</v>
      </c>
    </row>
    <row r="3" customFormat="false" ht="15" hidden="false" customHeight="false" outlineLevel="0" collapsed="false">
      <c r="A3" s="41" t="s">
        <v>86</v>
      </c>
    </row>
    <row r="4" customFormat="false" ht="15" hidden="false" customHeight="false" outlineLevel="0" collapsed="false">
      <c r="A4" s="47" t="s">
        <v>87</v>
      </c>
      <c r="B4" s="15"/>
      <c r="C4" s="2" t="str">
        <f aca="false">IF('Системна інформація'!D144 = 0, "", 'Системна інформація'!D144)</f>
        <v/>
      </c>
      <c r="D4" s="2" t="s">
        <v>12</v>
      </c>
    </row>
    <row r="5" customFormat="false" ht="15" hidden="false" customHeight="false" outlineLevel="0" collapsed="false">
      <c r="A5" s="48" t="s">
        <v>88</v>
      </c>
      <c r="B5" s="15"/>
      <c r="C5" s="2" t="str">
        <f aca="false">IF('Системна інформація'!D145 = 0, "", 'Системна інформація'!D145)</f>
        <v/>
      </c>
      <c r="D5" s="2" t="s">
        <v>89</v>
      </c>
    </row>
    <row r="6" customFormat="false" ht="15" hidden="false" customHeight="false" outlineLevel="0" collapsed="false">
      <c r="A6" s="48" t="s">
        <v>90</v>
      </c>
      <c r="B6" s="15"/>
      <c r="C6" s="2" t="str">
        <f aca="false">IF('Системна інформація'!D146 = 0, "", 'Системна інформація'!D146)</f>
        <v/>
      </c>
      <c r="D6" s="2" t="s">
        <v>91</v>
      </c>
    </row>
    <row r="7" customFormat="false" ht="15" hidden="false" customHeight="false" outlineLevel="0" collapsed="false">
      <c r="A7" s="48" t="s">
        <v>92</v>
      </c>
      <c r="B7" s="15"/>
      <c r="C7" s="2" t="str">
        <f aca="false">IF('Системна інформація'!D147 = 0, "", 'Системна інформація'!D147)</f>
        <v/>
      </c>
      <c r="D7" s="2" t="s">
        <v>9</v>
      </c>
    </row>
    <row r="9" customFormat="false" ht="15" hidden="false" customHeight="false" outlineLevel="0" collapsed="false">
      <c r="A9" s="41" t="s">
        <v>93</v>
      </c>
    </row>
    <row r="10" customFormat="false" ht="15" hidden="false" customHeight="false" outlineLevel="0" collapsed="false">
      <c r="A10" s="47" t="s">
        <v>87</v>
      </c>
      <c r="B10" s="15"/>
      <c r="C10" s="2" t="str">
        <f aca="false">IF('Системна інформація'!D148 = 0, "", 'Системна інформація'!D148)</f>
        <v/>
      </c>
      <c r="D10" s="2" t="s">
        <v>12</v>
      </c>
    </row>
    <row r="11" customFormat="false" ht="15" hidden="false" customHeight="false" outlineLevel="0" collapsed="false">
      <c r="A11" s="48" t="s">
        <v>88</v>
      </c>
      <c r="B11" s="15"/>
      <c r="C11" s="2" t="str">
        <f aca="false">IF('Системна інформація'!D149 = 0, "", 'Системна інформація'!D149)</f>
        <v/>
      </c>
      <c r="D11" s="2" t="s">
        <v>94</v>
      </c>
    </row>
    <row r="12" customFormat="false" ht="15" hidden="false" customHeight="false" outlineLevel="0" collapsed="false">
      <c r="A12" s="48" t="s">
        <v>90</v>
      </c>
      <c r="B12" s="15"/>
      <c r="C12" s="2" t="str">
        <f aca="false">IF('Системна інформація'!D150 = 0, "", 'Системна інформація'!D150)</f>
        <v/>
      </c>
    </row>
    <row r="13" customFormat="false" ht="15" hidden="false" customHeight="false" outlineLevel="0" collapsed="false">
      <c r="A13" s="48" t="s">
        <v>92</v>
      </c>
      <c r="B13" s="15"/>
      <c r="C13" s="2" t="str">
        <f aca="false">IF('Системна інформація'!D151 = 0, "", 'Системна інформація'!D151)</f>
        <v/>
      </c>
      <c r="D13" s="2" t="s">
        <v>9</v>
      </c>
    </row>
    <row r="15" customFormat="false" ht="15" hidden="false" customHeight="false" outlineLevel="0" collapsed="false">
      <c r="A15" s="41" t="s">
        <v>95</v>
      </c>
    </row>
    <row r="16" customFormat="false" ht="15" hidden="false" customHeight="false" outlineLevel="0" collapsed="false">
      <c r="A16" s="48" t="s">
        <v>88</v>
      </c>
      <c r="B16" s="15"/>
      <c r="C16" s="2" t="str">
        <f aca="false">IF('Системна інформація'!D153 = 0, "", 'Системна інформація'!D153)</f>
        <v/>
      </c>
      <c r="D16" s="2" t="s">
        <v>96</v>
      </c>
    </row>
    <row r="17" customFormat="false" ht="15" hidden="false" customHeight="false" outlineLevel="0" collapsed="false">
      <c r="A17" s="48" t="s">
        <v>90</v>
      </c>
      <c r="B17" s="15"/>
      <c r="C17" s="2" t="str">
        <f aca="false">IF('Системна інформація'!D154 = 0, "", 'Системна інформація'!D154)</f>
        <v/>
      </c>
      <c r="D17" s="2" t="s">
        <v>97</v>
      </c>
    </row>
    <row r="18" customFormat="false" ht="15" hidden="false" customHeight="false" outlineLevel="0" collapsed="false">
      <c r="A18" s="48" t="s">
        <v>92</v>
      </c>
      <c r="B18" s="15"/>
      <c r="C18" s="2" t="str">
        <f aca="false">IF('Системна інформація'!D155 = 0, "", 'Системна інформація'!D155)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048576"/>
  <sheetViews>
    <sheetView showFormulas="false" showGridLines="true" showRowColHeaders="true" showZeros="true" rightToLeft="false" tabSelected="true" showOutlineSymbols="true" defaultGridColor="true" view="normal" topLeftCell="B64" colorId="64" zoomScale="90" zoomScaleNormal="90" zoomScalePageLayoutView="100" workbookViewId="0">
      <selection pane="topLeft" activeCell="L72" activeCellId="0" sqref="L72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98</v>
      </c>
      <c r="B1" s="51" t="s">
        <v>99</v>
      </c>
      <c r="C1" s="51" t="s">
        <v>100</v>
      </c>
      <c r="D1" s="51" t="s">
        <v>101</v>
      </c>
      <c r="F1" s="2"/>
      <c r="G1" s="52" t="s">
        <v>102</v>
      </c>
      <c r="H1" s="52"/>
      <c r="I1" s="52"/>
      <c r="J1" s="52"/>
      <c r="K1" s="52"/>
      <c r="L1" s="52"/>
      <c r="M1" s="52"/>
      <c r="N1" s="52"/>
      <c r="O1" s="53" t="s">
        <v>103</v>
      </c>
      <c r="P1" s="54" t="s">
        <v>104</v>
      </c>
      <c r="Q1" s="53" t="s">
        <v>105</v>
      </c>
      <c r="R1" s="53"/>
      <c r="S1" s="53"/>
      <c r="T1" s="53"/>
    </row>
    <row r="2" customFormat="false" ht="15" hidden="false" customHeight="false" outlineLevel="0" collapsed="false">
      <c r="A2" s="55" t="s">
        <v>106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OFFSET($D$40,(ROW()-ROW(G$2))*8+(COLUMN()-COLUMN($G2)),0)</f>
        <v>0</v>
      </c>
      <c r="H2" s="57" t="n">
        <f aca="true">OFFSET($D$40,(ROW()-ROW(H$2))*8+(COLUMN()-COLUMN($G2)),0)</f>
        <v>0</v>
      </c>
      <c r="I2" s="57" t="n">
        <f aca="true">OFFSET($D$40,(ROW()-ROW(I$2))*8+(COLUMN()-COLUMN($G2)),0)</f>
        <v>0</v>
      </c>
      <c r="J2" s="57" t="n">
        <f aca="true">OFFSET($D$40,(ROW()-ROW(J$2))*8+(COLUMN()-COLUMN($G2)),0)</f>
        <v>0</v>
      </c>
      <c r="K2" s="57" t="n">
        <f aca="true">OFFSET($D$40,(ROW()-ROW(K$2))*8+(COLUMN()-COLUMN($G2)),0)</f>
        <v>0</v>
      </c>
      <c r="L2" s="57" t="n">
        <f aca="true">OFFSET($D$40,(ROW()-ROW(L$2))*8+(COLUMN()-COLUMN($G2)),0)</f>
        <v>0</v>
      </c>
      <c r="M2" s="57" t="n">
        <f aca="true">OFFSET($D$40,(ROW()-ROW(M$2))*8+(COLUMN()-COLUMN($G2)),0)</f>
        <v>0</v>
      </c>
      <c r="N2" s="57" t="n">
        <f aca="true">OFFSET($D$40,(ROW()-ROW(N$2))*8+(COLUMN()-COLUMN($G2)),0)</f>
        <v>0</v>
      </c>
      <c r="O2" s="58" t="s">
        <v>107</v>
      </c>
      <c r="P2" s="9" t="s">
        <v>11</v>
      </c>
      <c r="Q2" s="2" t="s">
        <v>108</v>
      </c>
      <c r="R2" s="2" t="s">
        <v>109</v>
      </c>
      <c r="S2" s="2" t="s">
        <v>110</v>
      </c>
      <c r="T2" s="2" t="s">
        <v>111</v>
      </c>
      <c r="U2" s="2" t="s">
        <v>112</v>
      </c>
      <c r="V2" s="2" t="s">
        <v>113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OFFSET($D$40,(ROW()-ROW(G$2))*8+(COLUMN()-COLUMN($G3)),0)</f>
        <v>0</v>
      </c>
      <c r="H3" s="57" t="n">
        <f aca="true">OFFSET($D$40,(ROW()-ROW(H$2))*8+(COLUMN()-COLUMN($G3)),0)</f>
        <v>0</v>
      </c>
      <c r="I3" s="57" t="n">
        <f aca="true">OFFSET($D$40,(ROW()-ROW(I$2))*8+(COLUMN()-COLUMN($G3)),0)</f>
        <v>0</v>
      </c>
      <c r="J3" s="57" t="n">
        <f aca="true">OFFSET($D$40,(ROW()-ROW(J$2))*8+(COLUMN()-COLUMN($G3)),0)</f>
        <v>0</v>
      </c>
      <c r="K3" s="57" t="n">
        <f aca="true">OFFSET($D$40,(ROW()-ROW(K$2))*8+(COLUMN()-COLUMN($G3)),0)</f>
        <v>0</v>
      </c>
      <c r="L3" s="57" t="n">
        <f aca="true">OFFSET($D$40,(ROW()-ROW(L$2))*8+(COLUMN()-COLUMN($G3)),0)</f>
        <v>0</v>
      </c>
      <c r="M3" s="57" t="n">
        <f aca="true">OFFSET($D$40,(ROW()-ROW(M$2))*8+(COLUMN()-COLUMN($G3)),0)</f>
        <v>0</v>
      </c>
      <c r="N3" s="57" t="n">
        <f aca="true">OFFSET($D$40,(ROW()-ROW(N$2))*8+(COLUMN()-COLUMN($G3)),0)</f>
        <v>0</v>
      </c>
      <c r="O3" s="58"/>
      <c r="P3" s="9" t="s">
        <v>13</v>
      </c>
      <c r="Q3" s="2" t="s">
        <v>114</v>
      </c>
      <c r="R3" s="2" t="s">
        <v>115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OFFSET($D$40,(ROW()-ROW(G$2))*8+(COLUMN()-COLUMN($G4)),0)</f>
        <v>0</v>
      </c>
      <c r="H4" s="57" t="n">
        <f aca="true">OFFSET($D$40,(ROW()-ROW(H$2))*8+(COLUMN()-COLUMN($G4)),0)</f>
        <v>0</v>
      </c>
      <c r="I4" s="57" t="n">
        <f aca="true">OFFSET($D$40,(ROW()-ROW(I$2))*8+(COLUMN()-COLUMN($G4)),0)</f>
        <v>0</v>
      </c>
      <c r="J4" s="57" t="n">
        <f aca="true">OFFSET($D$40,(ROW()-ROW(J$2))*8+(COLUMN()-COLUMN($G4)),0)</f>
        <v>0</v>
      </c>
      <c r="K4" s="57" t="n">
        <f aca="true">OFFSET($D$40,(ROW()-ROW(K$2))*8+(COLUMN()-COLUMN($G4)),0)</f>
        <v>0</v>
      </c>
      <c r="L4" s="57" t="n">
        <f aca="true">OFFSET($D$40,(ROW()-ROW(L$2))*8+(COLUMN()-COLUMN($G4)),0)</f>
        <v>0</v>
      </c>
      <c r="M4" s="57" t="n">
        <f aca="true">OFFSET($D$40,(ROW()-ROW(M$2))*8+(COLUMN()-COLUMN($G4)),0)</f>
        <v>0</v>
      </c>
      <c r="N4" s="57" t="n">
        <f aca="true">OFFSET($D$40,(ROW()-ROW(N$2))*8+(COLUMN()-COLUMN($G4)),0)</f>
        <v>0</v>
      </c>
      <c r="O4" s="58"/>
      <c r="P4" s="9" t="s">
        <v>18</v>
      </c>
      <c r="Q4" s="2" t="s">
        <v>116</v>
      </c>
      <c r="R4" s="2" t="s">
        <v>117</v>
      </c>
      <c r="S4" s="2" t="s">
        <v>118</v>
      </c>
      <c r="T4" s="2" t="s">
        <v>119</v>
      </c>
      <c r="U4" s="2" t="s">
        <v>120</v>
      </c>
      <c r="V4" s="2" t="s">
        <v>121</v>
      </c>
      <c r="W4" s="2" t="s">
        <v>122</v>
      </c>
      <c r="X4" s="2" t="s">
        <v>123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OFFSET($D$40,(ROW()-ROW(G$2))*8+(COLUMN()-COLUMN($G5)),0)</f>
        <v>0</v>
      </c>
      <c r="H5" s="57" t="n">
        <f aca="true">OFFSET($D$40,(ROW()-ROW(H$2))*8+(COLUMN()-COLUMN($G5)),0)</f>
        <v>0</v>
      </c>
      <c r="I5" s="57" t="n">
        <f aca="true">OFFSET($D$40,(ROW()-ROW(I$2))*8+(COLUMN()-COLUMN($G5)),0)</f>
        <v>0</v>
      </c>
      <c r="J5" s="57" t="n">
        <f aca="true">OFFSET($D$40,(ROW()-ROW(J$2))*8+(COLUMN()-COLUMN($G5)),0)</f>
        <v>0</v>
      </c>
      <c r="K5" s="57" t="n">
        <f aca="true">OFFSET($D$40,(ROW()-ROW(K$2))*8+(COLUMN()-COLUMN($G5)),0)</f>
        <v>0</v>
      </c>
      <c r="L5" s="57" t="n">
        <f aca="true">OFFSET($D$40,(ROW()-ROW(L$2))*8+(COLUMN()-COLUMN($G5)),0)</f>
        <v>0</v>
      </c>
      <c r="M5" s="57" t="n">
        <f aca="true">OFFSET($D$40,(ROW()-ROW(M$2))*8+(COLUMN()-COLUMN($G5)),0)</f>
        <v>0</v>
      </c>
      <c r="N5" s="57" t="n">
        <f aca="true">OFFSET($D$40,(ROW()-ROW(N$2))*8+(COLUMN()-COLUMN($G5)),0)</f>
        <v>0</v>
      </c>
      <c r="O5" s="58"/>
      <c r="P5" s="9" t="s">
        <v>30</v>
      </c>
      <c r="Q5" s="2" t="s">
        <v>124</v>
      </c>
      <c r="R5" s="2" t="s">
        <v>125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2" t="n">
        <v>1</v>
      </c>
      <c r="R6" s="2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126</v>
      </c>
      <c r="H7" s="59"/>
      <c r="I7" s="59"/>
      <c r="J7" s="59"/>
      <c r="K7" s="59"/>
      <c r="L7" s="59"/>
      <c r="M7" s="59"/>
      <c r="O7" s="58"/>
      <c r="P7" s="60" t="s">
        <v>38</v>
      </c>
      <c r="Q7" s="2" t="s">
        <v>127</v>
      </c>
      <c r="R7" s="2" t="s">
        <v>128</v>
      </c>
      <c r="S7" s="2" t="s">
        <v>129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OFFSET($D$72,(ROW()-ROW(G$8))*7+(COLUMN()-COLUMN($G8)),0)</f>
        <v>0</v>
      </c>
      <c r="H8" s="61" t="n">
        <f aca="true">OFFSET($D$72,(ROW()-ROW(H$8))*7+(COLUMN()-COLUMN($G8)),0)</f>
        <v>0</v>
      </c>
      <c r="I8" s="61" t="n">
        <f aca="true">OFFSET($D$72,(ROW()-ROW(I$8))*7+(COLUMN()-COLUMN($G8)),0)</f>
        <v>0</v>
      </c>
      <c r="J8" s="61" t="n">
        <f aca="true">OFFSET($D$72,(ROW()-ROW(J$8))*7+(COLUMN()-COLUMN($G8)),0)</f>
        <v>0</v>
      </c>
      <c r="K8" s="61" t="n">
        <f aca="true">OFFSET($D$72,(ROW()-ROW(K$8))*7+(COLUMN()-COLUMN($G8)),0)</f>
        <v>0</v>
      </c>
      <c r="L8" s="61" t="n">
        <f aca="true">OFFSET($D$72,(ROW()-ROW(L$8))*7+(COLUMN()-COLUMN($G8)),0)</f>
        <v>0</v>
      </c>
      <c r="M8" s="61" t="n">
        <f aca="true">OFFSET($D$72,(ROW()-ROW(M$8))*7+(COLUMN()-COLUMN($G8)),0)</f>
        <v>0</v>
      </c>
      <c r="O8" s="58"/>
      <c r="P8" s="60" t="s">
        <v>42</v>
      </c>
      <c r="Q8" s="2" t="s">
        <v>130</v>
      </c>
    </row>
    <row r="9" customFormat="false" ht="26.8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OFFSET($D$72,(ROW()-ROW(G$8))*7+(COLUMN()-COLUMN($G9)),0)</f>
        <v>0</v>
      </c>
      <c r="H9" s="61" t="n">
        <f aca="true">OFFSET($D$72,(ROW()-ROW(H$8))*7+(COLUMN()-COLUMN($G9)),0)</f>
        <v>0</v>
      </c>
      <c r="I9" s="61" t="n">
        <f aca="true">OFFSET($D$72,(ROW()-ROW(I$8))*7+(COLUMN()-COLUMN($G9)),0)</f>
        <v>0</v>
      </c>
      <c r="J9" s="61" t="n">
        <f aca="true">OFFSET($D$72,(ROW()-ROW(J$8))*7+(COLUMN()-COLUMN($G9)),0)</f>
        <v>0</v>
      </c>
      <c r="K9" s="61" t="n">
        <f aca="true">OFFSET($D$72,(ROW()-ROW(K$8))*7+(COLUMN()-COLUMN($G9)),0)</f>
        <v>0</v>
      </c>
      <c r="L9" s="61" t="n">
        <f aca="true">OFFSET($D$72,(ROW()-ROW(L$8))*7+(COLUMN()-COLUMN($G9)),0)</f>
        <v>0</v>
      </c>
      <c r="M9" s="61" t="n">
        <f aca="true">OFFSET($D$72,(ROW()-ROW(M$8))*7+(COLUMN()-COLUMN($G9)),0)</f>
        <v>0</v>
      </c>
      <c r="O9" s="58"/>
      <c r="P9" s="31" t="s">
        <v>60</v>
      </c>
      <c r="Q9" s="2" t="s">
        <v>131</v>
      </c>
      <c r="R9" s="2" t="s">
        <v>132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OFFSET($D$72,(ROW()-ROW(G$8))*7+(COLUMN()-COLUMN($G10)),0)</f>
        <v>0</v>
      </c>
      <c r="H10" s="61" t="n">
        <f aca="true">OFFSET($D$72,(ROW()-ROW(H$8))*7+(COLUMN()-COLUMN($G10)),0)</f>
        <v>0</v>
      </c>
      <c r="I10" s="61" t="n">
        <f aca="true">OFFSET($D$72,(ROW()-ROW(I$8))*7+(COLUMN()-COLUMN($G10)),0)</f>
        <v>0</v>
      </c>
      <c r="J10" s="61" t="n">
        <f aca="true">OFFSET($D$72,(ROW()-ROW(J$8))*7+(COLUMN()-COLUMN($G10)),0)</f>
        <v>0</v>
      </c>
      <c r="K10" s="61" t="n">
        <f aca="true">OFFSET($D$72,(ROW()-ROW(K$8))*7+(COLUMN()-COLUMN($G10)),0)</f>
        <v>0</v>
      </c>
      <c r="L10" s="61" t="n">
        <f aca="true">OFFSET($D$72,(ROW()-ROW(L$8))*7+(COLUMN()-COLUMN($G10)),0)</f>
        <v>0</v>
      </c>
      <c r="M10" s="61" t="n">
        <f aca="true">OFFSET($D$72,(ROW()-ROW(M$8))*7+(COLUMN()-COLUMN($G10)),0)</f>
        <v>0</v>
      </c>
      <c r="O10" s="58"/>
      <c r="P10" s="60" t="s">
        <v>69</v>
      </c>
      <c r="Q10" s="2" t="s">
        <v>133</v>
      </c>
      <c r="R10" s="2" t="s">
        <v>134</v>
      </c>
      <c r="S10" s="2" t="s">
        <v>135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OFFSET($D$72,(ROW()-ROW(G$8))*7+(COLUMN()-COLUMN($G11)),0)</f>
        <v>0</v>
      </c>
      <c r="H11" s="61" t="n">
        <f aca="true">OFFSET($D$72,(ROW()-ROW(H$8))*7+(COLUMN()-COLUMN($G11)),0)</f>
        <v>0</v>
      </c>
      <c r="I11" s="61" t="n">
        <f aca="true">OFFSET($D$72,(ROW()-ROW(I$8))*7+(COLUMN()-COLUMN($G11)),0)</f>
        <v>0</v>
      </c>
      <c r="J11" s="61" t="n">
        <f aca="true">OFFSET($D$72,(ROW()-ROW(J$8))*7+(COLUMN()-COLUMN($G11)),0)</f>
        <v>0</v>
      </c>
      <c r="K11" s="61" t="n">
        <f aca="true">OFFSET($D$72,(ROW()-ROW(K$8))*7+(COLUMN()-COLUMN($G11)),0)</f>
        <v>0</v>
      </c>
      <c r="L11" s="61" t="n">
        <f aca="true">OFFSET($D$72,(ROW()-ROW(L$8))*7+(COLUMN()-COLUMN($G11)),0)</f>
        <v>0</v>
      </c>
      <c r="M11" s="61" t="n">
        <f aca="true">OFFSET($D$72,(ROW()-ROW(M$8))*7+(COLUMN()-COLUMN($G11)),0)</f>
        <v>0</v>
      </c>
      <c r="O11" s="58"/>
      <c r="P11" s="60" t="s">
        <v>70</v>
      </c>
      <c r="Q11" s="2" t="s">
        <v>136</v>
      </c>
      <c r="R11" s="2" t="s">
        <v>137</v>
      </c>
      <c r="S11" s="2" t="s">
        <v>138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OFFSET($D$72,(ROW()-ROW(G$8))*7+(COLUMN()-COLUMN($G12)),0)</f>
        <v>0</v>
      </c>
      <c r="H12" s="61" t="n">
        <f aca="true">OFFSET($D$72,(ROW()-ROW(H$8))*7+(COLUMN()-COLUMN($G12)),0)</f>
        <v>0</v>
      </c>
      <c r="I12" s="61" t="n">
        <f aca="true">OFFSET($D$72,(ROW()-ROW(I$8))*7+(COLUMN()-COLUMN($G12)),0)</f>
        <v>0</v>
      </c>
      <c r="J12" s="61" t="n">
        <f aca="true">OFFSET($D$72,(ROW()-ROW(J$8))*7+(COLUMN()-COLUMN($G12)),0)</f>
        <v>0</v>
      </c>
      <c r="K12" s="61" t="n">
        <f aca="true">OFFSET($D$72,(ROW()-ROW(K$8))*7+(COLUMN()-COLUMN($G12)),0)</f>
        <v>0</v>
      </c>
      <c r="L12" s="61" t="n">
        <f aca="true">OFFSET($D$72,(ROW()-ROW(L$8))*7+(COLUMN()-COLUMN($G12)),0)</f>
        <v>0</v>
      </c>
      <c r="M12" s="61" t="n">
        <f aca="true">OFFSET($D$72,(ROW()-ROW(M$8))*7+(COLUMN()-COLUMN($G12)),0)</f>
        <v>0</v>
      </c>
      <c r="O12" s="58"/>
      <c r="P12" s="60" t="s">
        <v>77</v>
      </c>
      <c r="Q12" s="2" t="s">
        <v>139</v>
      </c>
      <c r="R12" s="2" t="s">
        <v>140</v>
      </c>
      <c r="S12" s="2" t="s">
        <v>141</v>
      </c>
      <c r="T12" s="2" t="s">
        <v>142</v>
      </c>
      <c r="U12" s="2" t="s">
        <v>143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OFFSET($D$72,(ROW()-ROW(G$8))*7+(COLUMN()-COLUMN($G13)),0)</f>
        <v>0</v>
      </c>
      <c r="H13" s="61" t="n">
        <f aca="true">OFFSET($D$72,(ROW()-ROW(H$8))*7+(COLUMN()-COLUMN($G13)),0)</f>
        <v>0</v>
      </c>
      <c r="I13" s="61" t="n">
        <f aca="true">OFFSET($D$72,(ROW()-ROW(I$8))*7+(COLUMN()-COLUMN($G13)),0)</f>
        <v>0</v>
      </c>
      <c r="J13" s="61" t="n">
        <f aca="true">OFFSET($D$72,(ROW()-ROW(J$8))*7+(COLUMN()-COLUMN($G13)),0)</f>
        <v>0</v>
      </c>
      <c r="K13" s="61" t="n">
        <f aca="true">OFFSET($D$72,(ROW()-ROW(K$8))*7+(COLUMN()-COLUMN($G13)),0)</f>
        <v>0</v>
      </c>
      <c r="L13" s="61" t="n">
        <f aca="true">OFFSET($D$72,(ROW()-ROW(L$8))*7+(COLUMN()-COLUMN($G13)),0)</f>
        <v>0</v>
      </c>
      <c r="M13" s="61" t="n">
        <f aca="true">OFFSET($D$72,(ROW()-ROW(M$8))*7+(COLUMN()-COLUMN($G13)),0)</f>
        <v>0</v>
      </c>
      <c r="O13" s="58"/>
      <c r="P13" s="60" t="s">
        <v>78</v>
      </c>
      <c r="Q13" s="2" t="s">
        <v>144</v>
      </c>
      <c r="R13" s="2" t="s">
        <v>145</v>
      </c>
      <c r="S13" s="2" t="s">
        <v>146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81</v>
      </c>
      <c r="Q14" s="2" t="s">
        <v>147</v>
      </c>
      <c r="R14" s="2" t="s">
        <v>148</v>
      </c>
      <c r="S14" s="2" t="s">
        <v>149</v>
      </c>
      <c r="T14" s="2" t="s">
        <v>150</v>
      </c>
      <c r="U14" s="2" t="s">
        <v>151</v>
      </c>
      <c r="V14" s="2" t="s">
        <v>152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80</v>
      </c>
      <c r="H15" s="59"/>
      <c r="I15" s="59"/>
      <c r="J15" s="59"/>
      <c r="K15" s="59"/>
      <c r="L15" s="2"/>
      <c r="M15" s="2"/>
      <c r="O15" s="58"/>
      <c r="P15" s="62" t="s">
        <v>153</v>
      </c>
      <c r="Q15" s="63" t="s">
        <v>154</v>
      </c>
      <c r="R15" s="63" t="s">
        <v>155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OFFSET($D$114,(ROW()-ROW(G$16))*5+(COLUMN()-COLUMN($G16)),0)</f>
        <v>0</v>
      </c>
      <c r="H16" s="61" t="n">
        <f aca="true">OFFSET($D$114,(ROW()-ROW(H$16))*5+(COLUMN()-COLUMN($G16)),0)</f>
        <v>0</v>
      </c>
      <c r="I16" s="61" t="n">
        <f aca="true">OFFSET($D$114,(ROW()-ROW(I$16))*5+(COLUMN()-COLUMN($G16)),0)</f>
        <v>0</v>
      </c>
      <c r="J16" s="61" t="n">
        <f aca="true">OFFSET($D$114,(ROW()-ROW(J$16))*5+(COLUMN()-COLUMN($G16)),0)</f>
        <v>0</v>
      </c>
      <c r="K16" s="61" t="n">
        <f aca="true">OFFSET($D$114,(ROW()-ROW(K$16))*5+(COLUMN()-COLUMN($G16)),0)</f>
        <v>0</v>
      </c>
      <c r="L16" s="2"/>
      <c r="M16" s="2"/>
      <c r="O16" s="58"/>
      <c r="P16" s="62" t="s">
        <v>156</v>
      </c>
      <c r="Q16" s="63" t="s">
        <v>157</v>
      </c>
      <c r="R16" s="63" t="s">
        <v>158</v>
      </c>
    </row>
    <row r="17" customFormat="false" ht="15" hidden="false" customHeight="false" outlineLevel="0" collapsed="false">
      <c r="A17" s="55"/>
      <c r="B17" s="48" t="str">
        <f aca="false">Основна!A28</f>
        <v>Група обліку</v>
      </c>
      <c r="C17" s="48" t="str">
        <f aca="false">IF(Основна!B28 = 0, "",  Основна!B28)</f>
        <v/>
      </c>
      <c r="D17" s="48"/>
      <c r="G17" s="61" t="n">
        <f aca="true">OFFSET($D$114,(ROW()-ROW(G$16))*5+(COLUMN()-COLUMN($G17)),0)</f>
        <v>0</v>
      </c>
      <c r="H17" s="61" t="n">
        <f aca="true">OFFSET($D$114,(ROW()-ROW(H$16))*5+(COLUMN()-COLUMN($G17)),0)</f>
        <v>0</v>
      </c>
      <c r="I17" s="61" t="n">
        <f aca="true">OFFSET($D$114,(ROW()-ROW(I$16))*5+(COLUMN()-COLUMN($G17)),0)</f>
        <v>0</v>
      </c>
      <c r="J17" s="61" t="n">
        <f aca="true">OFFSET($D$114,(ROW()-ROW(J$16))*5+(COLUMN()-COLUMN($G17)),0)</f>
        <v>0</v>
      </c>
      <c r="K17" s="61" t="n">
        <f aca="true">OFFSET($D$114,(ROW()-ROW(K$16))*5+(COLUMN()-COLUMN($G17)),0)</f>
        <v>0</v>
      </c>
      <c r="L17" s="2"/>
      <c r="M17" s="2"/>
      <c r="O17" s="58" t="s">
        <v>159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48" t="str">
        <f aca="false">Основна!A29</f>
        <v>Категорія обліку</v>
      </c>
      <c r="C18" s="48" t="str">
        <f aca="false">IF(Основна!B29 = 0, "",  Основна!B29)</f>
        <v/>
      </c>
      <c r="D18" s="48"/>
      <c r="G18" s="61" t="n">
        <f aca="true">OFFSET($D$114,(ROW()-ROW(G$16))*5+(COLUMN()-COLUMN($G18)),0)</f>
        <v>0</v>
      </c>
      <c r="H18" s="61" t="n">
        <f aca="true">OFFSET($D$114,(ROW()-ROW(H$16))*5+(COLUMN()-COLUMN($G18)),0)</f>
        <v>0</v>
      </c>
      <c r="I18" s="61" t="n">
        <f aca="true">OFFSET($D$114,(ROW()-ROW(I$16))*5+(COLUMN()-COLUMN($G18)),0)</f>
        <v>0</v>
      </c>
      <c r="J18" s="61" t="n">
        <f aca="true">OFFSET($D$114,(ROW()-ROW(J$16))*5+(COLUMN()-COLUMN($G18)),0)</f>
        <v>0</v>
      </c>
      <c r="K18" s="61" t="n">
        <f aca="true">OFFSET($D$114,(ROW()-ROW(K$16))*5+(COLUMN()-COLUMN($G18)),0)</f>
        <v>0</v>
      </c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48" t="str">
        <f aca="false">Основна!A30</f>
        <v>Склад</v>
      </c>
      <c r="C19" s="48" t="str">
        <f aca="false">IF(Основна!B30 = 0, "",  Основна!B30)</f>
        <v/>
      </c>
      <c r="D19" s="48"/>
      <c r="G19" s="61" t="n">
        <f aca="true">OFFSET($D$114,(ROW()-ROW(G$16))*5+(COLUMN()-COLUMN($G19)),0)</f>
        <v>0</v>
      </c>
      <c r="H19" s="61" t="n">
        <f aca="true">OFFSET($D$114,(ROW()-ROW(H$16))*5+(COLUMN()-COLUMN($G19)),0)</f>
        <v>0</v>
      </c>
      <c r="I19" s="61" t="n">
        <f aca="true">OFFSET($D$114,(ROW()-ROW(I$16))*5+(COLUMN()-COLUMN($G19)),0)</f>
        <v>0</v>
      </c>
      <c r="J19" s="61" t="n">
        <f aca="true">OFFSET($D$114,(ROW()-ROW(J$16))*5+(COLUMN()-COLUMN($G19)),0)</f>
        <v>0</v>
      </c>
      <c r="K19" s="61" t="n">
        <f aca="true">OFFSET($D$114,(ROW()-ROW(K$16))*5+(COLUMN()-COLUMN($G19)),0)</f>
        <v>0</v>
      </c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48" t="str">
        <f aca="false">Основна!A31</f>
        <v>Військове звання</v>
      </c>
      <c r="C20" s="48" t="str">
        <f aca="false">IF(Основна!B31 = 0, "",  Основна!B31)</f>
        <v/>
      </c>
      <c r="D20" s="48"/>
      <c r="G20" s="61" t="n">
        <f aca="true">OFFSET($D$114,(ROW()-ROW(G$16))*5+(COLUMN()-COLUMN($G20)),0)</f>
        <v>0</v>
      </c>
      <c r="H20" s="61" t="n">
        <f aca="true">OFFSET($D$114,(ROW()-ROW(H$16))*5+(COLUMN()-COLUMN($G20)),0)</f>
        <v>0</v>
      </c>
      <c r="I20" s="61" t="n">
        <f aca="true">OFFSET($D$114,(ROW()-ROW(I$16))*5+(COLUMN()-COLUMN($G20)),0)</f>
        <v>0</v>
      </c>
      <c r="J20" s="61" t="n">
        <f aca="true">OFFSET($D$114,(ROW()-ROW(J$16))*5+(COLUMN()-COLUMN($G20)),0)</f>
        <v>0</v>
      </c>
      <c r="K20" s="61" t="n">
        <f aca="true">OFFSET($D$114,(ROW()-ROW(K$16))*5+(COLUMN()-COLUMN($G20)),0)</f>
        <v>0</v>
      </c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48" t="str">
        <f aca="false">Основна!A32</f>
        <v>Військово-облікова спеціальність</v>
      </c>
      <c r="C21" s="48" t="str">
        <f aca="false">IF(Основна!B32 = 0, "",  Основна!B32)</f>
        <v/>
      </c>
      <c r="D21" s="48"/>
      <c r="G21" s="61" t="n">
        <f aca="true">OFFSET($D$114,(ROW()-ROW(G$16))*5+(COLUMN()-COLUMN($G21)),0)</f>
        <v>0</v>
      </c>
      <c r="H21" s="61" t="n">
        <f aca="true">OFFSET($D$114,(ROW()-ROW(H$16))*5+(COLUMN()-COLUMN($G21)),0)</f>
        <v>0</v>
      </c>
      <c r="I21" s="61" t="n">
        <f aca="true">OFFSET($D$114,(ROW()-ROW(I$16))*5+(COLUMN()-COLUMN($G21)),0)</f>
        <v>0</v>
      </c>
      <c r="J21" s="61" t="n">
        <f aca="true">OFFSET($D$114,(ROW()-ROW(J$16))*5+(COLUMN()-COLUMN($G21)),0)</f>
        <v>0</v>
      </c>
      <c r="K21" s="61" t="n">
        <f aca="true">OFFSET($D$114,(ROW()-ROW(K$16))*5+(COLUMN()-COLUMN($G21)),0)</f>
        <v>0</v>
      </c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48" t="str">
        <f aca="false">Основна!A33</f>
        <v> Придатність до військової служби</v>
      </c>
      <c r="C22" s="48" t="str">
        <f aca="false">IF(Основна!B33 = 0, "",  Основна!B33)</f>
        <v/>
      </c>
      <c r="D22" s="48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48" t="str">
        <f aca="false">Основна!A34</f>
        <v>Териториальний центр комплектування та соціальної підтримки</v>
      </c>
      <c r="C23" s="48" t="str">
        <f aca="false">IF(Основна!B34 = 0, "",  Основна!B34)</f>
        <v/>
      </c>
      <c r="D23" s="48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/>
      <c r="B24" s="48" t="str">
        <f aca="false">Основна!A35</f>
        <v>Перебування на спеціальному обліку</v>
      </c>
      <c r="C24" s="48" t="str">
        <f aca="false">IF(Основна!B35 = 0, "",  Основна!B35)</f>
        <v/>
      </c>
      <c r="D24" s="48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 t="s">
        <v>160</v>
      </c>
      <c r="B25" s="48" t="str">
        <f aca="false">'Адреси Контакти'!A4</f>
        <v>Країна</v>
      </c>
      <c r="C25" s="48" t="str">
        <f aca="false">IF('Адреси Контакти'!B4 = 0, "", 'Адреси Контакти'!B4)</f>
        <v/>
      </c>
      <c r="D25" s="48"/>
      <c r="O25" s="58"/>
      <c r="P25" s="31" t="s">
        <v>45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48" t="str">
        <f aca="false">'Адреси Контакти'!A5</f>
        <v>Область</v>
      </c>
      <c r="C26" s="48" t="str">
        <f aca="false">IF('Адреси Контакти'!B5 = 0, "", 'Адреси Контакти'!B5)</f>
        <v/>
      </c>
      <c r="D26" s="48"/>
      <c r="O26" s="58"/>
      <c r="P26" s="28" t="s">
        <v>47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48" t="str">
        <f aca="false">'Адреси Контакти'!A6</f>
        <v>Місто</v>
      </c>
      <c r="C27" s="48" t="str">
        <f aca="false">IF('Адреси Контакти'!B6 = 0, "", 'Адреси Контакти'!B6)</f>
        <v/>
      </c>
      <c r="D27" s="48"/>
      <c r="O27" s="58"/>
      <c r="P27" s="28" t="s">
        <v>50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48" t="str">
        <f aca="false">'Адреси Контакти'!A7</f>
        <v>Район (міста)</v>
      </c>
      <c r="C28" s="48" t="str">
        <f aca="false">IF('Адреси Контакти'!B7 = 0, "", 'Адреси Контакти'!B7)</f>
        <v/>
      </c>
      <c r="D28" s="48"/>
      <c r="O28" s="58"/>
      <c r="P28" s="60" t="s">
        <v>63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48" t="str">
        <f aca="false">'Адреси Контакти'!A8</f>
        <v>Адреса (вулиця, № будинку, квартири)</v>
      </c>
      <c r="C29" s="48" t="str">
        <f aca="false">IF('Адреси Контакти'!B8 = 0, "", 'Адреси Контакти'!B8)</f>
        <v/>
      </c>
      <c r="D29" s="48"/>
    </row>
    <row r="30" customFormat="false" ht="15" hidden="false" customHeight="false" outlineLevel="0" collapsed="false">
      <c r="A30" s="55"/>
      <c r="B30" s="48" t="str">
        <f aca="false">'Адреси Контакти'!A9</f>
        <v>Індекс</v>
      </c>
      <c r="C30" s="48" t="str">
        <f aca="false">IF('Адреси Контакти'!B9 = 0, "", 'Адреси Контакти'!B9)</f>
        <v/>
      </c>
      <c r="D30" s="48"/>
    </row>
    <row r="31" customFormat="false" ht="15" hidden="false" customHeight="false" outlineLevel="0" collapsed="false">
      <c r="A31" s="55"/>
      <c r="B31" s="48" t="str">
        <f aca="false">'Адреси Контакти'!A12</f>
        <v>КОНТАКТНИЙ ТЕЛЕФОН (основний)</v>
      </c>
      <c r="C31" s="48" t="str">
        <f aca="false">IF('Адреси Контакти'!B12 = 0, "", 'Адреси Контакти'!B12)</f>
        <v/>
      </c>
      <c r="D31" s="48"/>
    </row>
    <row r="32" customFormat="false" ht="15" hidden="false" customHeight="false" outlineLevel="0" collapsed="false">
      <c r="A32" s="55"/>
      <c r="B32" s="48" t="str">
        <f aca="false">'Адреси Контакти'!A13</f>
        <v>КОНТАКТНИЙ ТЕЛЕФОН (додатковий)</v>
      </c>
      <c r="C32" s="48" t="str">
        <f aca="false">IF('Адреси Контакти'!B13 = 0, "", 'Адреси Контакти'!B13)</f>
        <v/>
      </c>
      <c r="D32" s="48"/>
    </row>
    <row r="33" customFormat="false" ht="15" hidden="false" customHeight="false" outlineLevel="0" collapsed="false">
      <c r="A33" s="55"/>
      <c r="B33" s="48" t="str">
        <f aca="false">'Адреси Контакти'!A16</f>
        <v>Співпадає із адресою фактичного проживання</v>
      </c>
      <c r="C33" s="48" t="str">
        <f aca="false">IF('Адреси Контакти'!B16 = 0, "", 'Адреси Контакти'!B16)</f>
        <v/>
      </c>
      <c r="D33" s="48"/>
    </row>
    <row r="34" customFormat="false" ht="15" hidden="false" customHeight="false" outlineLevel="0" collapsed="false">
      <c r="A34" s="55"/>
      <c r="B34" s="48" t="str">
        <f aca="false">'Адреси Контакти'!A18</f>
        <v>Країна</v>
      </c>
      <c r="C34" s="48" t="str">
        <f aca="false">IF('Адреси Контакти'!B18 = 0, "", 'Адреси Контакти'!B18)</f>
        <v/>
      </c>
      <c r="D34" s="48"/>
    </row>
    <row r="35" customFormat="false" ht="15" hidden="false" customHeight="false" outlineLevel="0" collapsed="false">
      <c r="A35" s="55"/>
      <c r="B35" s="48" t="str">
        <f aca="false">'Адреси Контакти'!A19</f>
        <v>Область</v>
      </c>
      <c r="C35" s="48" t="str">
        <f aca="false">IF('Адреси Контакти'!B19 = 0, "", 'Адреси Контакти'!B19)</f>
        <v/>
      </c>
      <c r="D35" s="48"/>
    </row>
    <row r="36" customFormat="false" ht="15" hidden="false" customHeight="false" outlineLevel="0" collapsed="false">
      <c r="A36" s="55"/>
      <c r="B36" s="48" t="str">
        <f aca="false">'Адреси Контакти'!A20</f>
        <v>Місто</v>
      </c>
      <c r="C36" s="48" t="str">
        <f aca="false">IF('Адреси Контакти'!B20 = 0, "", 'Адреси Контакти'!B20)</f>
        <v/>
      </c>
      <c r="D36" s="48"/>
    </row>
    <row r="37" customFormat="false" ht="15" hidden="false" customHeight="false" outlineLevel="0" collapsed="false">
      <c r="A37" s="55"/>
      <c r="B37" s="48" t="str">
        <f aca="false">'Адреси Контакти'!A21</f>
        <v>Район (міста)</v>
      </c>
      <c r="C37" s="48" t="str">
        <f aca="false">IF('Адреси Контакти'!B21 = 0, "", 'Адреси Контакти'!B21)</f>
        <v/>
      </c>
      <c r="D37" s="48"/>
    </row>
    <row r="38" customFormat="false" ht="15" hidden="false" customHeight="false" outlineLevel="0" collapsed="false">
      <c r="A38" s="55"/>
      <c r="B38" s="48" t="str">
        <f aca="false">'Адреси Контакти'!A22</f>
        <v>Адреса (вулиця, № будинку, квартири)</v>
      </c>
      <c r="C38" s="48" t="str">
        <f aca="false">IF('Адреси Контакти'!B22 = 0, "", 'Адреси Контакти'!B22)</f>
        <v/>
      </c>
      <c r="D38" s="48"/>
    </row>
    <row r="39" customFormat="false" ht="15" hidden="false" customHeight="false" outlineLevel="0" collapsed="false">
      <c r="A39" s="55"/>
      <c r="B39" s="48" t="str">
        <f aca="false">'Адреси Контакти'!A23</f>
        <v>Індекс</v>
      </c>
      <c r="C39" s="48" t="str">
        <f aca="false">IF('Адреси Контакти'!B23 = 0, "", 'Адреси Контакти'!B23)</f>
        <v/>
      </c>
      <c r="D39" s="48"/>
    </row>
    <row r="40" customFormat="false" ht="15" hidden="false" customHeight="false" outlineLevel="0" collapsed="false">
      <c r="A40" s="55" t="s">
        <v>161</v>
      </c>
      <c r="B40" s="48" t="str">
        <f aca="false">Освіта!$A$4</f>
        <v>Назва освітнього закладу</v>
      </c>
      <c r="C40" s="64" t="str">
        <f aca="false">IF(Освіта!A5 = 0, "", Освіта!A5)</f>
        <v/>
      </c>
      <c r="D40" s="65"/>
    </row>
    <row r="41" customFormat="false" ht="15" hidden="false" customHeight="false" outlineLevel="0" collapsed="false">
      <c r="A41" s="55"/>
      <c r="B41" s="48" t="str">
        <f aca="false">Освіта!$B$4</f>
        <v>Серія дисплома (свідоцтва)</v>
      </c>
      <c r="C41" s="64" t="str">
        <f aca="false">IF(Освіта!B5 = 0, "", Освіта!B5)</f>
        <v/>
      </c>
      <c r="D41" s="65"/>
    </row>
    <row r="42" customFormat="false" ht="15" hidden="false" customHeight="false" outlineLevel="0" collapsed="false">
      <c r="A42" s="55"/>
      <c r="B42" s="48" t="str">
        <f aca="false">Освіта!$C$4</f>
        <v>Номер дисплома (свідоцтва)</v>
      </c>
      <c r="C42" s="64" t="str">
        <f aca="false">IF(Освіта!C5 = 0, "", Освіта!C5)</f>
        <v/>
      </c>
      <c r="D42" s="65"/>
    </row>
    <row r="43" customFormat="false" ht="15" hidden="false" customHeight="false" outlineLevel="0" collapsed="false">
      <c r="A43" s="55"/>
      <c r="B43" s="48" t="str">
        <f aca="false">Освіта!$D$4</f>
        <v>Рік закінчення</v>
      </c>
      <c r="C43" s="64" t="str">
        <f aca="false">IF(Освіта!D5 = 0, "", Освіта!D5)</f>
        <v/>
      </c>
      <c r="D43" s="65"/>
    </row>
    <row r="44" customFormat="false" ht="15" hidden="false" customHeight="false" outlineLevel="0" collapsed="false">
      <c r="A44" s="55"/>
      <c r="B44" s="48" t="str">
        <f aca="false">Освіта!$E$4</f>
        <v>Спеціальність (професія) за дипломом (свідоцтвом) </v>
      </c>
      <c r="C44" s="64" t="str">
        <f aca="false">IF(Освіта!E5 = 0, "", Освіта!E5)</f>
        <v/>
      </c>
      <c r="D44" s="65"/>
    </row>
    <row r="45" customFormat="false" ht="15" hidden="false" customHeight="false" outlineLevel="0" collapsed="false">
      <c r="A45" s="55"/>
      <c r="B45" s="48" t="str">
        <f aca="false">Освіта!$F$4</f>
        <v>Кваліфікація за дипломом (свідоцтвом)</v>
      </c>
      <c r="C45" s="64" t="str">
        <f aca="false">IF(Освіта!F5 = 0, "", Освіта!F5)</f>
        <v/>
      </c>
      <c r="D45" s="65"/>
    </row>
    <row r="46" customFormat="false" ht="15" hidden="false" customHeight="false" outlineLevel="0" collapsed="false">
      <c r="A46" s="55"/>
      <c r="B46" s="48" t="str">
        <f aca="false">Освіта!$G$4</f>
        <v>Форма навчання (денна, вечірня, заочна)</v>
      </c>
      <c r="C46" s="64" t="str">
        <f aca="false">IF(Освіта!G5 = 0, "", Освіта!G5)</f>
        <v/>
      </c>
      <c r="D46" s="65"/>
    </row>
    <row r="47" customFormat="false" ht="15" hidden="false" customHeight="false" outlineLevel="0" collapsed="false">
      <c r="A47" s="55"/>
      <c r="B47" s="48" t="str">
        <f aca="false">Освіта!$H$4</f>
        <v>Рівень освіти</v>
      </c>
      <c r="C47" s="64" t="str">
        <f aca="false">IF(Освіта!H5 = 0, "", Освіта!H5)</f>
        <v/>
      </c>
      <c r="D47" s="65"/>
    </row>
    <row r="48" customFormat="false" ht="15" hidden="false" customHeight="false" outlineLevel="0" collapsed="false">
      <c r="A48" s="55"/>
      <c r="B48" s="48" t="str">
        <f aca="false">Освіта!$A$4</f>
        <v>Назва освітнього закладу</v>
      </c>
      <c r="C48" s="64" t="str">
        <f aca="false">IF(Освіта!A6 = 0, "", Освіта!A6)</f>
        <v/>
      </c>
      <c r="D48" s="65"/>
    </row>
    <row r="49" customFormat="false" ht="15" hidden="false" customHeight="false" outlineLevel="0" collapsed="false">
      <c r="A49" s="55"/>
      <c r="B49" s="48" t="str">
        <f aca="false">Освіта!$B$4</f>
        <v>Серія дисплома (свідоцтва)</v>
      </c>
      <c r="C49" s="64" t="str">
        <f aca="false">IF(Освіта!B6 = 0, "", Освіта!B6)</f>
        <v/>
      </c>
      <c r="D49" s="65"/>
    </row>
    <row r="50" customFormat="false" ht="15" hidden="false" customHeight="false" outlineLevel="0" collapsed="false">
      <c r="A50" s="55"/>
      <c r="B50" s="48" t="str">
        <f aca="false">Освіта!$C$4</f>
        <v>Номер дисплома (свідоцтва)</v>
      </c>
      <c r="C50" s="64" t="str">
        <f aca="false">IF(Освіта!C6 = 0, "", Освіта!C6)</f>
        <v/>
      </c>
      <c r="D50" s="65"/>
    </row>
    <row r="51" customFormat="false" ht="15" hidden="false" customHeight="false" outlineLevel="0" collapsed="false">
      <c r="A51" s="55"/>
      <c r="B51" s="48" t="str">
        <f aca="false">Освіта!$D$4</f>
        <v>Рік закінчення</v>
      </c>
      <c r="C51" s="64" t="str">
        <f aca="false">IF(Освіта!D6 = 0, "", Освіта!D6)</f>
        <v/>
      </c>
      <c r="D51" s="65"/>
    </row>
    <row r="52" customFormat="false" ht="15" hidden="false" customHeight="false" outlineLevel="0" collapsed="false">
      <c r="A52" s="55"/>
      <c r="B52" s="48" t="str">
        <f aca="false">Освіта!$E$4</f>
        <v>Спеціальність (професія) за дипломом (свідоцтвом) </v>
      </c>
      <c r="C52" s="64" t="str">
        <f aca="false">IF(Освіта!E6 = 0, "", Освіта!E6)</f>
        <v/>
      </c>
      <c r="D52" s="65"/>
    </row>
    <row r="53" customFormat="false" ht="15" hidden="false" customHeight="false" outlineLevel="0" collapsed="false">
      <c r="A53" s="55"/>
      <c r="B53" s="48" t="str">
        <f aca="false">Освіта!$F$4</f>
        <v>Кваліфікація за дипломом (свідоцтвом)</v>
      </c>
      <c r="C53" s="64" t="str">
        <f aca="false">IF(Освіта!F6 = 0, "", Освіта!F6)</f>
        <v/>
      </c>
      <c r="D53" s="65"/>
    </row>
    <row r="54" customFormat="false" ht="15" hidden="false" customHeight="false" outlineLevel="0" collapsed="false">
      <c r="A54" s="55"/>
      <c r="B54" s="48" t="str">
        <f aca="false">Освіта!$G$4</f>
        <v>Форма навчання (денна, вечірня, заочна)</v>
      </c>
      <c r="C54" s="64" t="str">
        <f aca="false">IF(Освіта!G6 = 0, "", Освіта!G6)</f>
        <v/>
      </c>
      <c r="D54" s="65"/>
    </row>
    <row r="55" customFormat="false" ht="15" hidden="false" customHeight="false" outlineLevel="0" collapsed="false">
      <c r="A55" s="55"/>
      <c r="B55" s="48" t="str">
        <f aca="false">Освіта!$H$4</f>
        <v>Рівень освіти</v>
      </c>
      <c r="C55" s="64" t="str">
        <f aca="false">IF(Освіта!H6 = 0, "", Освіта!H6)</f>
        <v/>
      </c>
      <c r="D55" s="65"/>
    </row>
    <row r="56" customFormat="false" ht="15" hidden="false" customHeight="false" outlineLevel="0" collapsed="false">
      <c r="A56" s="55"/>
      <c r="B56" s="48" t="str">
        <f aca="false">Освіта!$A$4</f>
        <v>Назва освітнього закладу</v>
      </c>
      <c r="C56" s="64" t="str">
        <f aca="false">IF(Освіта!A7 = 0, "", Освіта!A7)</f>
        <v/>
      </c>
      <c r="D56" s="65"/>
    </row>
    <row r="57" customFormat="false" ht="15" hidden="false" customHeight="false" outlineLevel="0" collapsed="false">
      <c r="A57" s="55"/>
      <c r="B57" s="48" t="str">
        <f aca="false">Освіта!$B$4</f>
        <v>Серія дисплома (свідоцтва)</v>
      </c>
      <c r="C57" s="64" t="str">
        <f aca="false">IF(Освіта!B7 = 0, "", Освіта!B7)</f>
        <v/>
      </c>
      <c r="D57" s="65"/>
    </row>
    <row r="58" customFormat="false" ht="15" hidden="false" customHeight="false" outlineLevel="0" collapsed="false">
      <c r="A58" s="55"/>
      <c r="B58" s="48" t="str">
        <f aca="false">Освіта!$C$4</f>
        <v>Номер дисплома (свідоцтва)</v>
      </c>
      <c r="C58" s="64" t="str">
        <f aca="false">IF(Освіта!C7 = 0, "", Освіта!C7)</f>
        <v/>
      </c>
      <c r="D58" s="65"/>
    </row>
    <row r="59" customFormat="false" ht="15" hidden="false" customHeight="false" outlineLevel="0" collapsed="false">
      <c r="A59" s="55"/>
      <c r="B59" s="48" t="str">
        <f aca="false">Освіта!$D$4</f>
        <v>Рік закінчення</v>
      </c>
      <c r="C59" s="64" t="str">
        <f aca="false">IF(Освіта!D7 = 0, "", Освіта!D7)</f>
        <v/>
      </c>
      <c r="D59" s="65"/>
    </row>
    <row r="60" customFormat="false" ht="15" hidden="false" customHeight="false" outlineLevel="0" collapsed="false">
      <c r="A60" s="55"/>
      <c r="B60" s="48" t="str">
        <f aca="false">Освіта!$E$4</f>
        <v>Спеціальність (професія) за дипломом (свідоцтвом) </v>
      </c>
      <c r="C60" s="64" t="str">
        <f aca="false">IF(Освіта!E7 = 0, "", Освіта!E7)</f>
        <v/>
      </c>
      <c r="D60" s="65"/>
    </row>
    <row r="61" customFormat="false" ht="15" hidden="false" customHeight="false" outlineLevel="0" collapsed="false">
      <c r="A61" s="55"/>
      <c r="B61" s="48" t="str">
        <f aca="false">Освіта!$F$4</f>
        <v>Кваліфікація за дипломом (свідоцтвом)</v>
      </c>
      <c r="C61" s="64" t="str">
        <f aca="false">IF(Освіта!F7 = 0, "", Освіта!F7)</f>
        <v/>
      </c>
      <c r="D61" s="65"/>
    </row>
    <row r="62" customFormat="false" ht="15" hidden="false" customHeight="false" outlineLevel="0" collapsed="false">
      <c r="A62" s="55"/>
      <c r="B62" s="48" t="str">
        <f aca="false">Освіта!$G$4</f>
        <v>Форма навчання (денна, вечірня, заочна)</v>
      </c>
      <c r="C62" s="64" t="str">
        <f aca="false">IF(Освіта!G7 = 0, "", Освіта!G7)</f>
        <v/>
      </c>
      <c r="D62" s="65"/>
    </row>
    <row r="63" customFormat="false" ht="15" hidden="false" customHeight="false" outlineLevel="0" collapsed="false">
      <c r="A63" s="55"/>
      <c r="B63" s="48" t="str">
        <f aca="false">Освіта!$H$4</f>
        <v>Рівень освіти</v>
      </c>
      <c r="C63" s="64" t="str">
        <f aca="false">IF(Освіта!H7 = 0, "", Освіта!H7)</f>
        <v/>
      </c>
      <c r="D63" s="65"/>
    </row>
    <row r="64" customFormat="false" ht="15" hidden="false" customHeight="false" outlineLevel="0" collapsed="false">
      <c r="A64" s="55"/>
      <c r="B64" s="48" t="str">
        <f aca="false">Освіта!$A$4</f>
        <v>Назва освітнього закладу</v>
      </c>
      <c r="C64" s="64" t="str">
        <f aca="false">IF(Освіта!A8 = 0, "", Освіта!A8)</f>
        <v/>
      </c>
      <c r="D64" s="65"/>
    </row>
    <row r="65" customFormat="false" ht="15" hidden="false" customHeight="false" outlineLevel="0" collapsed="false">
      <c r="A65" s="55"/>
      <c r="B65" s="48" t="str">
        <f aca="false">Освіта!$B$4</f>
        <v>Серія дисплома (свідоцтва)</v>
      </c>
      <c r="C65" s="64" t="str">
        <f aca="false">IF(Освіта!B8 = 0, "", Освіта!B8)</f>
        <v/>
      </c>
      <c r="D65" s="65"/>
    </row>
    <row r="66" customFormat="false" ht="15" hidden="false" customHeight="false" outlineLevel="0" collapsed="false">
      <c r="A66" s="55"/>
      <c r="B66" s="48" t="str">
        <f aca="false">Освіта!$C$4</f>
        <v>Номер дисплома (свідоцтва)</v>
      </c>
      <c r="C66" s="64" t="str">
        <f aca="false">IF(Освіта!C8 = 0, "", Освіта!C8)</f>
        <v/>
      </c>
      <c r="D66" s="65"/>
    </row>
    <row r="67" customFormat="false" ht="15" hidden="false" customHeight="false" outlineLevel="0" collapsed="false">
      <c r="A67" s="55"/>
      <c r="B67" s="48" t="str">
        <f aca="false">Освіта!$D$4</f>
        <v>Рік закінчення</v>
      </c>
      <c r="C67" s="64" t="str">
        <f aca="false">IF(Освіта!D8 = 0, "", Освіта!D8)</f>
        <v/>
      </c>
      <c r="D67" s="65"/>
    </row>
    <row r="68" customFormat="false" ht="15" hidden="false" customHeight="false" outlineLevel="0" collapsed="false">
      <c r="A68" s="55"/>
      <c r="B68" s="48" t="str">
        <f aca="false">Освіта!$E$4</f>
        <v>Спеціальність (професія) за дипломом (свідоцтвом) </v>
      </c>
      <c r="C68" s="64" t="str">
        <f aca="false">IF(Освіта!E8 = 0, "", Освіта!E8)</f>
        <v/>
      </c>
      <c r="D68" s="65"/>
    </row>
    <row r="69" customFormat="false" ht="15" hidden="false" customHeight="false" outlineLevel="0" collapsed="false">
      <c r="A69" s="55"/>
      <c r="B69" s="48" t="str">
        <f aca="false">Освіта!$F$4</f>
        <v>Кваліфікація за дипломом (свідоцтвом)</v>
      </c>
      <c r="C69" s="64" t="str">
        <f aca="false">IF(Освіта!F8 = 0, "", Освіта!F8)</f>
        <v/>
      </c>
      <c r="D69" s="65"/>
    </row>
    <row r="70" customFormat="false" ht="15" hidden="false" customHeight="false" outlineLevel="0" collapsed="false">
      <c r="A70" s="55"/>
      <c r="B70" s="48" t="str">
        <f aca="false">Освіта!$G$4</f>
        <v>Форма навчання (денна, вечірня, заочна)</v>
      </c>
      <c r="C70" s="64" t="str">
        <f aca="false">IF(Освіта!G8 = 0, "", Освіта!G8)</f>
        <v/>
      </c>
      <c r="D70" s="65"/>
    </row>
    <row r="71" customFormat="false" ht="15" hidden="false" customHeight="false" outlineLevel="0" collapsed="false">
      <c r="A71" s="55"/>
      <c r="B71" s="48" t="str">
        <f aca="false">Освіта!$H$4</f>
        <v>Рівень освіти</v>
      </c>
      <c r="C71" s="64" t="str">
        <f aca="false">IF(Освіта!H8 = 0, "", Освіта!H8)</f>
        <v/>
      </c>
      <c r="D71" s="65"/>
    </row>
    <row r="72" customFormat="false" ht="15" hidden="false" customHeight="false" outlineLevel="0" collapsed="false">
      <c r="A72" s="55"/>
      <c r="B72" s="48" t="str">
        <f aca="false">Освіта!$A$12</f>
        <v>Назва освітнього, наукового  закладу</v>
      </c>
      <c r="C72" s="66" t="str">
        <f aca="false">IF(Освіта!A13 = 0, "", Освіта!A13)</f>
        <v/>
      </c>
      <c r="D72" s="65"/>
    </row>
    <row r="73" customFormat="false" ht="15" hidden="false" customHeight="false" outlineLevel="0" collapsed="false">
      <c r="A73" s="55"/>
      <c r="B73" s="48" t="str">
        <f aca="false">Освіта!$B$12</f>
        <v>Серія дисплома</v>
      </c>
      <c r="C73" s="66" t="str">
        <f aca="false">IF(Освіта!B13 = 0, "", Освіта!B13)</f>
        <v/>
      </c>
      <c r="D73" s="65"/>
    </row>
    <row r="74" customFormat="false" ht="15" hidden="false" customHeight="false" outlineLevel="0" collapsed="false">
      <c r="A74" s="55"/>
      <c r="B74" s="0" t="str">
        <f aca="false">Освіта!$C$12</f>
        <v>Номер диплома</v>
      </c>
      <c r="C74" s="66" t="str">
        <f aca="false">IF(Освіта!C13 = 0, "", Освіта!C13)</f>
        <v/>
      </c>
      <c r="D74" s="65"/>
    </row>
    <row r="75" customFormat="false" ht="15" hidden="false" customHeight="false" outlineLevel="0" collapsed="false">
      <c r="A75" s="55"/>
      <c r="B75" s="0" t="str">
        <f aca="false">Освіта!$D$12</f>
        <v>Дата видачі диплома</v>
      </c>
      <c r="C75" s="66" t="str">
        <f aca="false">IF(Освіта!D13 = 0, "", Освіта!D13)</f>
        <v/>
      </c>
      <c r="D75" s="65"/>
    </row>
    <row r="76" customFormat="false" ht="15" hidden="false" customHeight="false" outlineLevel="0" collapsed="false">
      <c r="A76" s="55"/>
      <c r="B76" s="48" t="str">
        <f aca="false">Освіта!$E$12</f>
        <v>Рік закінчення</v>
      </c>
      <c r="C76" s="66" t="str">
        <f aca="false">IF(Освіта!E13 = 0, "", Освіта!E13)</f>
        <v/>
      </c>
      <c r="D76" s="65"/>
    </row>
    <row r="77" customFormat="false" ht="15" hidden="false" customHeight="false" outlineLevel="0" collapsed="false">
      <c r="A77" s="55"/>
      <c r="B77" s="48" t="str">
        <f aca="false">Освіта!$F$12</f>
        <v>Науковий ступінь, учене звання</v>
      </c>
      <c r="C77" s="66" t="str">
        <f aca="false">IF(Освіта!F13 = 0, "", Освіта!F13)</f>
        <v/>
      </c>
      <c r="D77" s="65"/>
    </row>
    <row r="78" customFormat="false" ht="15" hidden="false" customHeight="false" outlineLevel="0" collapsed="false">
      <c r="A78" s="55"/>
      <c r="B78" s="48" t="str">
        <f aca="false">Освіта!$G$12</f>
        <v>Рівень підготовки</v>
      </c>
      <c r="C78" s="66" t="str">
        <f aca="false">IF(Освіта!G13 = 0, "", Освіта!G13)</f>
        <v/>
      </c>
      <c r="D78" s="65"/>
      <c r="O78" s="0"/>
    </row>
    <row r="79" customFormat="false" ht="15" hidden="false" customHeight="false" outlineLevel="0" collapsed="false">
      <c r="A79" s="55"/>
      <c r="B79" s="48" t="str">
        <f aca="false">Освіта!$A$12</f>
        <v>Назва освітнього, наукового  закладу</v>
      </c>
      <c r="C79" s="66" t="str">
        <f aca="false">IF(Освіта!A14 = 0, "", Освіта!A14)</f>
        <v/>
      </c>
      <c r="D79" s="65"/>
      <c r="O79" s="0"/>
    </row>
    <row r="80" customFormat="false" ht="15" hidden="false" customHeight="false" outlineLevel="0" collapsed="false">
      <c r="A80" s="55"/>
      <c r="B80" s="48" t="str">
        <f aca="false">Освіта!$B$12</f>
        <v>Серія дисплома</v>
      </c>
      <c r="C80" s="66" t="str">
        <f aca="false">IF(Освіта!B14 = 0, "", Освіта!B14)</f>
        <v/>
      </c>
      <c r="D80" s="65"/>
      <c r="O80" s="0"/>
    </row>
    <row r="81" customFormat="false" ht="15" hidden="false" customHeight="false" outlineLevel="0" collapsed="false">
      <c r="A81" s="55"/>
      <c r="B81" s="0" t="str">
        <f aca="false">Освіта!$C$12</f>
        <v>Номер диплома</v>
      </c>
      <c r="C81" s="66" t="str">
        <f aca="false">IF(Освіта!C14 = 0, "", Освіта!C14)</f>
        <v/>
      </c>
      <c r="D81" s="65"/>
      <c r="O81" s="0"/>
    </row>
    <row r="82" customFormat="false" ht="15" hidden="false" customHeight="false" outlineLevel="0" collapsed="false">
      <c r="A82" s="55"/>
      <c r="B82" s="0" t="str">
        <f aca="false">Освіта!$D$12</f>
        <v>Дата видачі диплома</v>
      </c>
      <c r="C82" s="66" t="str">
        <f aca="false">IF(Освіта!D14 = 0, "", Освіта!D14)</f>
        <v/>
      </c>
      <c r="D82" s="65"/>
      <c r="O82" s="0"/>
    </row>
    <row r="83" customFormat="false" ht="15" hidden="false" customHeight="false" outlineLevel="0" collapsed="false">
      <c r="A83" s="55"/>
      <c r="B83" s="48" t="str">
        <f aca="false">Освіта!$E$12</f>
        <v>Рік закінчення</v>
      </c>
      <c r="C83" s="66" t="str">
        <f aca="false">IF(Освіта!E14 = 0, "", Освіта!E14)</f>
        <v/>
      </c>
      <c r="D83" s="65"/>
      <c r="O83" s="0"/>
    </row>
    <row r="84" customFormat="false" ht="15" hidden="false" customHeight="false" outlineLevel="0" collapsed="false">
      <c r="A84" s="55"/>
      <c r="B84" s="48" t="str">
        <f aca="false">Освіта!$F$12</f>
        <v>Науковий ступінь, учене звання</v>
      </c>
      <c r="C84" s="66" t="str">
        <f aca="false">IF(Освіта!F14 = 0, "", Освіта!F14)</f>
        <v/>
      </c>
      <c r="D84" s="65"/>
      <c r="O84" s="0"/>
    </row>
    <row r="85" customFormat="false" ht="15" hidden="false" customHeight="false" outlineLevel="0" collapsed="false">
      <c r="A85" s="55"/>
      <c r="B85" s="48" t="str">
        <f aca="false">Освіта!$G$12</f>
        <v>Рівень підготовки</v>
      </c>
      <c r="C85" s="66" t="str">
        <f aca="false">IF(Освіта!G14 = 0, "", Освіта!G14)</f>
        <v/>
      </c>
      <c r="D85" s="65"/>
    </row>
    <row r="86" customFormat="false" ht="15" hidden="false" customHeight="false" outlineLevel="0" collapsed="false">
      <c r="A86" s="55"/>
      <c r="B86" s="48" t="str">
        <f aca="false">Освіта!$A$12</f>
        <v>Назва освітнього, наукового  закладу</v>
      </c>
      <c r="C86" s="66" t="str">
        <f aca="false">IF(Освіта!A15 = 0, "", Освіта!A15)</f>
        <v/>
      </c>
      <c r="D86" s="65"/>
    </row>
    <row r="87" customFormat="false" ht="15" hidden="false" customHeight="false" outlineLevel="0" collapsed="false">
      <c r="A87" s="55"/>
      <c r="B87" s="48" t="str">
        <f aca="false">Освіта!$B$12</f>
        <v>Серія дисплома</v>
      </c>
      <c r="C87" s="66" t="str">
        <f aca="false">IF(Освіта!B15 = 0, "", Освіта!B15)</f>
        <v/>
      </c>
      <c r="D87" s="65"/>
    </row>
    <row r="88" customFormat="false" ht="15" hidden="false" customHeight="false" outlineLevel="0" collapsed="false">
      <c r="A88" s="55"/>
      <c r="B88" s="0" t="str">
        <f aca="false">Освіта!$C$12</f>
        <v>Номер диплома</v>
      </c>
      <c r="C88" s="66" t="str">
        <f aca="false">IF(Освіта!C15 = 0, "", Освіта!C15)</f>
        <v/>
      </c>
      <c r="D88" s="65"/>
    </row>
    <row r="89" customFormat="false" ht="15" hidden="false" customHeight="false" outlineLevel="0" collapsed="false">
      <c r="A89" s="55"/>
      <c r="B89" s="0" t="str">
        <f aca="false">Освіта!$D$12</f>
        <v>Дата видачі диплома</v>
      </c>
      <c r="C89" s="66" t="str">
        <f aca="false">IF(Освіта!D15 = 0, "", Освіта!D15)</f>
        <v/>
      </c>
      <c r="D89" s="65"/>
    </row>
    <row r="90" customFormat="false" ht="15" hidden="false" customHeight="false" outlineLevel="0" collapsed="false">
      <c r="A90" s="55"/>
      <c r="B90" s="48" t="str">
        <f aca="false">Освіта!$E$12</f>
        <v>Рік закінчення</v>
      </c>
      <c r="C90" s="66" t="str">
        <f aca="false">IF(Освіта!E15 = 0, "", Освіта!E15)</f>
        <v/>
      </c>
      <c r="D90" s="65"/>
    </row>
    <row r="91" customFormat="false" ht="15" hidden="false" customHeight="false" outlineLevel="0" collapsed="false">
      <c r="A91" s="55"/>
      <c r="B91" s="48" t="str">
        <f aca="false">Освіта!$F$12</f>
        <v>Науковий ступінь, учене звання</v>
      </c>
      <c r="C91" s="66" t="str">
        <f aca="false">IF(Освіта!F15 = 0, "", Освіта!F15)</f>
        <v/>
      </c>
      <c r="D91" s="65"/>
    </row>
    <row r="92" customFormat="false" ht="15" hidden="false" customHeight="false" outlineLevel="0" collapsed="false">
      <c r="A92" s="55"/>
      <c r="B92" s="48" t="str">
        <f aca="false">Освіта!$G$12</f>
        <v>Рівень підготовки</v>
      </c>
      <c r="C92" s="66" t="str">
        <f aca="false">IF(Освіта!G15 = 0, "", Освіта!G15)</f>
        <v/>
      </c>
      <c r="D92" s="65"/>
    </row>
    <row r="93" customFormat="false" ht="15" hidden="false" customHeight="false" outlineLevel="0" collapsed="false">
      <c r="A93" s="55"/>
      <c r="B93" s="48" t="str">
        <f aca="false">Освіта!$A$12</f>
        <v>Назва освітнього, наукового  закладу</v>
      </c>
      <c r="C93" s="66" t="str">
        <f aca="false">IF(Освіта!A16 = 0, "", Освіта!A16)</f>
        <v/>
      </c>
      <c r="D93" s="65"/>
    </row>
    <row r="94" customFormat="false" ht="15" hidden="false" customHeight="false" outlineLevel="0" collapsed="false">
      <c r="A94" s="55"/>
      <c r="B94" s="48" t="str">
        <f aca="false">Освіта!$B$12</f>
        <v>Серія дисплома</v>
      </c>
      <c r="C94" s="66" t="str">
        <f aca="false">IF(Освіта!B16 = 0, "", Освіта!B16)</f>
        <v/>
      </c>
      <c r="D94" s="65"/>
    </row>
    <row r="95" customFormat="false" ht="15" hidden="false" customHeight="false" outlineLevel="0" collapsed="false">
      <c r="A95" s="55"/>
      <c r="B95" s="0" t="str">
        <f aca="false">Освіта!$C$12</f>
        <v>Номер диплома</v>
      </c>
      <c r="C95" s="66" t="str">
        <f aca="false">IF(Освіта!C16 = 0, "", Освіта!C16)</f>
        <v/>
      </c>
      <c r="D95" s="65"/>
    </row>
    <row r="96" customFormat="false" ht="15" hidden="false" customHeight="false" outlineLevel="0" collapsed="false">
      <c r="A96" s="55"/>
      <c r="B96" s="0" t="str">
        <f aca="false">Освіта!$D$12</f>
        <v>Дата видачі диплома</v>
      </c>
      <c r="C96" s="66" t="str">
        <f aca="false">IF(Освіта!D16 = 0, "", Освіта!D16)</f>
        <v/>
      </c>
      <c r="D96" s="65"/>
    </row>
    <row r="97" customFormat="false" ht="15" hidden="false" customHeight="false" outlineLevel="0" collapsed="false">
      <c r="A97" s="55"/>
      <c r="B97" s="48" t="str">
        <f aca="false">Освіта!$E$12</f>
        <v>Рік закінчення</v>
      </c>
      <c r="C97" s="66" t="str">
        <f aca="false">IF(Освіта!E16 = 0, "", Освіта!E16)</f>
        <v/>
      </c>
      <c r="D97" s="65"/>
    </row>
    <row r="98" customFormat="false" ht="15" hidden="false" customHeight="false" outlineLevel="0" collapsed="false">
      <c r="A98" s="55"/>
      <c r="B98" s="48" t="str">
        <f aca="false">Освіта!$F$12</f>
        <v>Науковий ступінь, учене звання</v>
      </c>
      <c r="C98" s="66" t="str">
        <f aca="false">IF(Освіта!F16 = 0, "", Освіта!F16)</f>
        <v/>
      </c>
      <c r="D98" s="65"/>
    </row>
    <row r="99" customFormat="false" ht="15" hidden="false" customHeight="false" outlineLevel="0" collapsed="false">
      <c r="A99" s="55"/>
      <c r="B99" s="48" t="str">
        <f aca="false">Освіта!$G$12</f>
        <v>Рівень підготовки</v>
      </c>
      <c r="C99" s="66" t="str">
        <f aca="false">IF(Освіта!G16 = 0, "", Освіта!G16)</f>
        <v/>
      </c>
      <c r="D99" s="65"/>
    </row>
    <row r="100" customFormat="false" ht="15" hidden="false" customHeight="false" outlineLevel="0" collapsed="false">
      <c r="A100" s="55"/>
      <c r="B100" s="48" t="str">
        <f aca="false">Освіта!$A$12</f>
        <v>Назва освітнього, наукового  закладу</v>
      </c>
      <c r="C100" s="66" t="str">
        <f aca="false">IF(Освіта!A17 = 0, "", Освіта!A17)</f>
        <v/>
      </c>
      <c r="D100" s="65"/>
    </row>
    <row r="101" customFormat="false" ht="15" hidden="false" customHeight="false" outlineLevel="0" collapsed="false">
      <c r="A101" s="55"/>
      <c r="B101" s="48" t="str">
        <f aca="false">Освіта!$B$12</f>
        <v>Серія дисплома</v>
      </c>
      <c r="C101" s="66" t="str">
        <f aca="false">IF(Освіта!B17 = 0, "", Освіта!B17)</f>
        <v/>
      </c>
      <c r="D101" s="65"/>
    </row>
    <row r="102" customFormat="false" ht="15" hidden="false" customHeight="false" outlineLevel="0" collapsed="false">
      <c r="A102" s="55"/>
      <c r="B102" s="0" t="str">
        <f aca="false">Освіта!$C$12</f>
        <v>Номер диплома</v>
      </c>
      <c r="C102" s="66" t="str">
        <f aca="false">IF(Освіта!C17 = 0, "", Освіта!C17)</f>
        <v/>
      </c>
      <c r="D102" s="65"/>
    </row>
    <row r="103" customFormat="false" ht="15" hidden="false" customHeight="false" outlineLevel="0" collapsed="false">
      <c r="A103" s="55"/>
      <c r="B103" s="0" t="str">
        <f aca="false">Освіта!$D$12</f>
        <v>Дата видачі диплома</v>
      </c>
      <c r="C103" s="66" t="str">
        <f aca="false">IF(Освіта!D17 = 0, "", Освіта!D17)</f>
        <v/>
      </c>
      <c r="D103" s="65"/>
    </row>
    <row r="104" customFormat="false" ht="15" hidden="false" customHeight="false" outlineLevel="0" collapsed="false">
      <c r="A104" s="55"/>
      <c r="B104" s="48" t="str">
        <f aca="false">Освіта!$E$12</f>
        <v>Рік закінчення</v>
      </c>
      <c r="C104" s="66" t="str">
        <f aca="false">IF(Освіта!E17 = 0, "", Освіта!E17)</f>
        <v/>
      </c>
      <c r="D104" s="65"/>
    </row>
    <row r="105" customFormat="false" ht="15" hidden="false" customHeight="false" outlineLevel="0" collapsed="false">
      <c r="A105" s="55"/>
      <c r="B105" s="48" t="str">
        <f aca="false">Освіта!$F$12</f>
        <v>Науковий ступінь, учене звання</v>
      </c>
      <c r="C105" s="66" t="str">
        <f aca="false">IF(Освіта!F17 = 0, "", Освіта!F17)</f>
        <v/>
      </c>
      <c r="D105" s="65"/>
    </row>
    <row r="106" customFormat="false" ht="15" hidden="false" customHeight="false" outlineLevel="0" collapsed="false">
      <c r="A106" s="55"/>
      <c r="B106" s="48" t="str">
        <f aca="false">Освіта!$G$12</f>
        <v>Рівень підготовки</v>
      </c>
      <c r="C106" s="66" t="str">
        <f aca="false">IF(Освіта!G17 = 0, "", Освіта!G17)</f>
        <v/>
      </c>
      <c r="D106" s="65"/>
    </row>
    <row r="107" customFormat="false" ht="15" hidden="false" customHeight="false" outlineLevel="0" collapsed="false">
      <c r="A107" s="55"/>
      <c r="B107" s="48" t="str">
        <f aca="false">Освіта!$A$12</f>
        <v>Назва освітнього, наукового  закладу</v>
      </c>
      <c r="C107" s="66" t="str">
        <f aca="false">IF(Освіта!A18 = 0, "", Освіта!A18)</f>
        <v/>
      </c>
      <c r="D107" s="65"/>
    </row>
    <row r="108" customFormat="false" ht="15" hidden="false" customHeight="false" outlineLevel="0" collapsed="false">
      <c r="A108" s="55"/>
      <c r="B108" s="48" t="str">
        <f aca="false">Освіта!$B$12</f>
        <v>Серія дисплома</v>
      </c>
      <c r="C108" s="66" t="str">
        <f aca="false">IF(Освіта!B18 = 0, "", Освіта!B18)</f>
        <v/>
      </c>
      <c r="D108" s="65"/>
    </row>
    <row r="109" customFormat="false" ht="15" hidden="false" customHeight="false" outlineLevel="0" collapsed="false">
      <c r="A109" s="55"/>
      <c r="B109" s="0" t="str">
        <f aca="false">Освіта!$C$12</f>
        <v>Номер диплома</v>
      </c>
      <c r="C109" s="66" t="str">
        <f aca="false">IF(Освіта!C18 = 0, "", Освіта!C18)</f>
        <v/>
      </c>
      <c r="D109" s="65"/>
    </row>
    <row r="110" customFormat="false" ht="15" hidden="false" customHeight="false" outlineLevel="0" collapsed="false">
      <c r="A110" s="55"/>
      <c r="B110" s="0" t="str">
        <f aca="false">Освіта!$D$12</f>
        <v>Дата видачі диплома</v>
      </c>
      <c r="C110" s="66" t="str">
        <f aca="false">IF(Освіта!D18 = 0, "", Освіта!D18)</f>
        <v/>
      </c>
      <c r="D110" s="65"/>
    </row>
    <row r="111" customFormat="false" ht="15" hidden="false" customHeight="false" outlineLevel="0" collapsed="false">
      <c r="A111" s="55"/>
      <c r="B111" s="48" t="str">
        <f aca="false">Освіта!$E$12</f>
        <v>Рік закінчення</v>
      </c>
      <c r="C111" s="66" t="str">
        <f aca="false">IF(Освіта!E18 = 0, "", Освіта!E18)</f>
        <v/>
      </c>
      <c r="D111" s="65"/>
    </row>
    <row r="112" customFormat="false" ht="15" hidden="false" customHeight="false" outlineLevel="0" collapsed="false">
      <c r="A112" s="55"/>
      <c r="B112" s="48" t="str">
        <f aca="false">Освіта!$F$12</f>
        <v>Науковий ступінь, учене звання</v>
      </c>
      <c r="C112" s="66" t="str">
        <f aca="false">IF(Освіта!F18 = 0, "", Освіта!F18)</f>
        <v/>
      </c>
      <c r="D112" s="65"/>
    </row>
    <row r="113" customFormat="false" ht="15" hidden="false" customHeight="false" outlineLevel="0" collapsed="false">
      <c r="A113" s="55"/>
      <c r="B113" s="48" t="str">
        <f aca="false">Освіта!$G$12</f>
        <v>Рівень підготовки</v>
      </c>
      <c r="C113" s="66" t="str">
        <f aca="false">IF(Освіта!G18 = 0, "", Освіта!G18)</f>
        <v/>
      </c>
      <c r="D113" s="65"/>
    </row>
    <row r="114" customFormat="false" ht="15" hidden="false" customHeight="false" outlineLevel="0" collapsed="false">
      <c r="A114" s="55" t="s">
        <v>162</v>
      </c>
      <c r="B114" s="48" t="str">
        <f aca="false">Родина!$A$4</f>
        <v>Ступінь родинного зв’язку (склад сім'ї)</v>
      </c>
      <c r="C114" s="67" t="str">
        <f aca="false">IF(Родина!A5 = 0, "", Родина!A5)</f>
        <v/>
      </c>
      <c r="D114" s="65"/>
    </row>
    <row r="115" customFormat="false" ht="15" hidden="false" customHeight="false" outlineLevel="0" collapsed="false">
      <c r="A115" s="55"/>
      <c r="B115" s="48" t="str">
        <f aca="false">Родина!$B$4</f>
        <v>Прізвище</v>
      </c>
      <c r="C115" s="67" t="str">
        <f aca="false">IF(Родина!B5 = 0, "", Родина!B5)</f>
        <v/>
      </c>
      <c r="D115" s="65"/>
    </row>
    <row r="116" customFormat="false" ht="15" hidden="false" customHeight="false" outlineLevel="0" collapsed="false">
      <c r="A116" s="55"/>
      <c r="B116" s="2" t="str">
        <f aca="false">Родина!$C$4</f>
        <v>Ім’я</v>
      </c>
      <c r="C116" s="67" t="str">
        <f aca="false">IF(Родина!C5 = 0, "", Родина!C5)</f>
        <v/>
      </c>
      <c r="D116" s="65"/>
    </row>
    <row r="117" customFormat="false" ht="15" hidden="false" customHeight="false" outlineLevel="0" collapsed="false">
      <c r="A117" s="55"/>
      <c r="B117" s="48" t="str">
        <f aca="false">Родина!$D$4</f>
        <v>По-батькові</v>
      </c>
      <c r="C117" s="67" t="str">
        <f aca="false">IF(Родина!D5 = 0, "", Родина!D5)</f>
        <v/>
      </c>
      <c r="D117" s="65"/>
    </row>
    <row r="118" customFormat="false" ht="15" hidden="false" customHeight="false" outlineLevel="0" collapsed="false">
      <c r="A118" s="55"/>
      <c r="B118" s="48" t="str">
        <f aca="false">Родина!$E$4</f>
        <v>Рік народження</v>
      </c>
      <c r="C118" s="67" t="str">
        <f aca="false">IF(Родина!E5 = 0, "", Родина!E5)</f>
        <v/>
      </c>
      <c r="D118" s="65"/>
    </row>
    <row r="119" customFormat="false" ht="15" hidden="false" customHeight="false" outlineLevel="0" collapsed="false">
      <c r="A119" s="55"/>
      <c r="B119" s="48" t="str">
        <f aca="false">Родина!$A$4</f>
        <v>Ступінь родинного зв’язку (склад сім'ї)</v>
      </c>
      <c r="C119" s="67" t="str">
        <f aca="false">IF(Родина!A6 = 0, "", Родина!A6)</f>
        <v/>
      </c>
      <c r="D119" s="65"/>
    </row>
    <row r="120" customFormat="false" ht="15" hidden="false" customHeight="false" outlineLevel="0" collapsed="false">
      <c r="A120" s="55"/>
      <c r="B120" s="48" t="str">
        <f aca="false">Родина!$B$4</f>
        <v>Прізвище</v>
      </c>
      <c r="C120" s="67" t="str">
        <f aca="false">IF(Родина!B6 = 0, "", Родина!B6)</f>
        <v/>
      </c>
      <c r="D120" s="65"/>
    </row>
    <row r="121" customFormat="false" ht="15" hidden="false" customHeight="false" outlineLevel="0" collapsed="false">
      <c r="A121" s="55"/>
      <c r="B121" s="2" t="str">
        <f aca="false">Родина!$C$4</f>
        <v>Ім’я</v>
      </c>
      <c r="C121" s="67" t="str">
        <f aca="false">IF(Родина!C6 = 0, "", Родина!C6)</f>
        <v/>
      </c>
      <c r="D121" s="65"/>
    </row>
    <row r="122" customFormat="false" ht="15" hidden="false" customHeight="false" outlineLevel="0" collapsed="false">
      <c r="A122" s="55"/>
      <c r="B122" s="48" t="str">
        <f aca="false">Родина!$D$4</f>
        <v>По-батькові</v>
      </c>
      <c r="C122" s="67" t="str">
        <f aca="false">IF(Родина!D6 = 0, "", Родина!D6)</f>
        <v/>
      </c>
      <c r="D122" s="65"/>
    </row>
    <row r="123" customFormat="false" ht="15" hidden="false" customHeight="false" outlineLevel="0" collapsed="false">
      <c r="A123" s="55"/>
      <c r="B123" s="48" t="str">
        <f aca="false">Родина!$E$4</f>
        <v>Рік народження</v>
      </c>
      <c r="C123" s="67" t="str">
        <f aca="false">IF(Родина!E6 = 0, "", Родина!E6)</f>
        <v/>
      </c>
      <c r="D123" s="65"/>
    </row>
    <row r="124" customFormat="false" ht="15" hidden="false" customHeight="false" outlineLevel="0" collapsed="false">
      <c r="A124" s="55"/>
      <c r="B124" s="48" t="str">
        <f aca="false">Родина!$A$4</f>
        <v>Ступінь родинного зв’язку (склад сім'ї)</v>
      </c>
      <c r="C124" s="67" t="str">
        <f aca="false">IF(Родина!A7 = 0, "", Родина!A7)</f>
        <v/>
      </c>
      <c r="D124" s="65"/>
    </row>
    <row r="125" customFormat="false" ht="15" hidden="false" customHeight="false" outlineLevel="0" collapsed="false">
      <c r="A125" s="55"/>
      <c r="B125" s="48" t="str">
        <f aca="false">Родина!$B$4</f>
        <v>Прізвище</v>
      </c>
      <c r="C125" s="67" t="str">
        <f aca="false">IF(Родина!B7 = 0, "", Родина!B7)</f>
        <v/>
      </c>
      <c r="D125" s="65"/>
    </row>
    <row r="126" customFormat="false" ht="15" hidden="false" customHeight="false" outlineLevel="0" collapsed="false">
      <c r="A126" s="55"/>
      <c r="B126" s="2" t="str">
        <f aca="false">Родина!$C$4</f>
        <v>Ім’я</v>
      </c>
      <c r="C126" s="67" t="str">
        <f aca="false">IF(Родина!C7 = 0, "", Родина!C7)</f>
        <v/>
      </c>
      <c r="D126" s="65"/>
    </row>
    <row r="127" customFormat="false" ht="15" hidden="false" customHeight="false" outlineLevel="0" collapsed="false">
      <c r="A127" s="55"/>
      <c r="B127" s="48" t="str">
        <f aca="false">Родина!$D$4</f>
        <v>По-батькові</v>
      </c>
      <c r="C127" s="67" t="str">
        <f aca="false">IF(Родина!D7 = 0, "", Родина!D7)</f>
        <v/>
      </c>
      <c r="D127" s="65"/>
    </row>
    <row r="128" customFormat="false" ht="15" hidden="false" customHeight="false" outlineLevel="0" collapsed="false">
      <c r="A128" s="55"/>
      <c r="B128" s="48" t="str">
        <f aca="false">Родина!$E$4</f>
        <v>Рік народження</v>
      </c>
      <c r="C128" s="67" t="str">
        <f aca="false">IF(Родина!E7 = 0, "", Родина!E7)</f>
        <v/>
      </c>
      <c r="D128" s="65"/>
    </row>
    <row r="129" customFormat="false" ht="15" hidden="false" customHeight="false" outlineLevel="0" collapsed="false">
      <c r="A129" s="55"/>
      <c r="B129" s="48" t="str">
        <f aca="false">Родина!$A$4</f>
        <v>Ступінь родинного зв’язку (склад сім'ї)</v>
      </c>
      <c r="C129" s="67" t="str">
        <f aca="false">IF(Родина!A8 = 0, "", Родина!A8)</f>
        <v/>
      </c>
      <c r="D129" s="65"/>
    </row>
    <row r="130" customFormat="false" ht="15" hidden="false" customHeight="false" outlineLevel="0" collapsed="false">
      <c r="A130" s="55"/>
      <c r="B130" s="48" t="str">
        <f aca="false">Родина!$B$4</f>
        <v>Прізвище</v>
      </c>
      <c r="C130" s="67" t="str">
        <f aca="false">IF(Родина!B8 = 0, "", Родина!B8)</f>
        <v/>
      </c>
      <c r="D130" s="65"/>
    </row>
    <row r="131" customFormat="false" ht="15" hidden="false" customHeight="false" outlineLevel="0" collapsed="false">
      <c r="A131" s="55"/>
      <c r="B131" s="2" t="str">
        <f aca="false">Родина!$C$4</f>
        <v>Ім’я</v>
      </c>
      <c r="C131" s="67" t="str">
        <f aca="false">IF(Родина!C8 = 0, "", Родина!C8)</f>
        <v/>
      </c>
      <c r="D131" s="65"/>
    </row>
    <row r="132" customFormat="false" ht="15" hidden="false" customHeight="false" outlineLevel="0" collapsed="false">
      <c r="A132" s="55"/>
      <c r="B132" s="48" t="str">
        <f aca="false">Родина!$D$4</f>
        <v>По-батькові</v>
      </c>
      <c r="C132" s="67" t="str">
        <f aca="false">IF(Родина!D8 = 0, "", Родина!D8)</f>
        <v/>
      </c>
      <c r="D132" s="65"/>
    </row>
    <row r="133" customFormat="false" ht="15" hidden="false" customHeight="false" outlineLevel="0" collapsed="false">
      <c r="A133" s="55"/>
      <c r="B133" s="48" t="str">
        <f aca="false">Родина!$E$4</f>
        <v>Рік народження</v>
      </c>
      <c r="C133" s="67" t="str">
        <f aca="false">IF(Родина!E8 = 0, "", Родина!E8)</f>
        <v/>
      </c>
      <c r="D133" s="65"/>
    </row>
    <row r="134" customFormat="false" ht="15" hidden="false" customHeight="false" outlineLevel="0" collapsed="false">
      <c r="A134" s="55"/>
      <c r="B134" s="48" t="str">
        <f aca="false">Родина!$A$4</f>
        <v>Ступінь родинного зв’язку (склад сім'ї)</v>
      </c>
      <c r="C134" s="67" t="str">
        <f aca="false">IF(Родина!A9 = 0, "", Родина!A9)</f>
        <v/>
      </c>
      <c r="D134" s="65"/>
    </row>
    <row r="135" customFormat="false" ht="15" hidden="false" customHeight="false" outlineLevel="0" collapsed="false">
      <c r="A135" s="55"/>
      <c r="B135" s="48" t="str">
        <f aca="false">Родина!$B$4</f>
        <v>Прізвище</v>
      </c>
      <c r="C135" s="67" t="str">
        <f aca="false">IF(Родина!B9 = 0, "", Родина!B9)</f>
        <v/>
      </c>
      <c r="D135" s="65"/>
    </row>
    <row r="136" customFormat="false" ht="15" hidden="false" customHeight="false" outlineLevel="0" collapsed="false">
      <c r="A136" s="55"/>
      <c r="B136" s="2" t="str">
        <f aca="false">Родина!$C$4</f>
        <v>Ім’я</v>
      </c>
      <c r="C136" s="67" t="str">
        <f aca="false">IF(Родина!C9 = 0, "", Родина!C9)</f>
        <v/>
      </c>
      <c r="D136" s="65"/>
    </row>
    <row r="137" customFormat="false" ht="15" hidden="false" customHeight="false" outlineLevel="0" collapsed="false">
      <c r="A137" s="55"/>
      <c r="B137" s="48" t="str">
        <f aca="false">Родина!$D$4</f>
        <v>По-батькові</v>
      </c>
      <c r="C137" s="67" t="str">
        <f aca="false">IF(Родина!D9 = 0, "", Родина!D9)</f>
        <v/>
      </c>
      <c r="D137" s="65"/>
    </row>
    <row r="138" customFormat="false" ht="15" hidden="false" customHeight="false" outlineLevel="0" collapsed="false">
      <c r="A138" s="55"/>
      <c r="B138" s="48" t="str">
        <f aca="false">Родина!$E$4</f>
        <v>Рік народження</v>
      </c>
      <c r="C138" s="67" t="str">
        <f aca="false">IF(Родина!E9 = 0, "", Родина!E9)</f>
        <v/>
      </c>
      <c r="D138" s="65"/>
    </row>
    <row r="139" customFormat="false" ht="15" hidden="false" customHeight="false" outlineLevel="0" collapsed="false">
      <c r="A139" s="55"/>
      <c r="B139" s="48" t="str">
        <f aca="false">Родина!$A$4</f>
        <v>Ступінь родинного зв’язку (склад сім'ї)</v>
      </c>
      <c r="C139" s="67" t="str">
        <f aca="false">IF(Родина!A10 = 0, "", Родина!A10)</f>
        <v/>
      </c>
      <c r="D139" s="65"/>
    </row>
    <row r="140" customFormat="false" ht="15" hidden="false" customHeight="false" outlineLevel="0" collapsed="false">
      <c r="A140" s="55"/>
      <c r="B140" s="48" t="str">
        <f aca="false">Родина!$B$4</f>
        <v>Прізвище</v>
      </c>
      <c r="C140" s="67" t="str">
        <f aca="false">IF(Родина!B10 = 0, "", Родина!B10)</f>
        <v/>
      </c>
      <c r="D140" s="65"/>
    </row>
    <row r="141" customFormat="false" ht="15" hidden="false" customHeight="false" outlineLevel="0" collapsed="false">
      <c r="A141" s="55"/>
      <c r="B141" s="2" t="str">
        <f aca="false">Родина!$C$4</f>
        <v>Ім’я</v>
      </c>
      <c r="C141" s="67" t="str">
        <f aca="false">IF(Родина!C10 = 0, "", Родина!C10)</f>
        <v/>
      </c>
      <c r="D141" s="65"/>
    </row>
    <row r="142" customFormat="false" ht="15" hidden="false" customHeight="false" outlineLevel="0" collapsed="false">
      <c r="A142" s="55"/>
      <c r="B142" s="48" t="str">
        <f aca="false">Родина!$D$4</f>
        <v>По-батькові</v>
      </c>
      <c r="C142" s="67" t="str">
        <f aca="false">IF(Родина!D10 = 0, "", Родина!D10)</f>
        <v/>
      </c>
      <c r="D142" s="65"/>
    </row>
    <row r="143" customFormat="false" ht="15" hidden="false" customHeight="false" outlineLevel="0" collapsed="false">
      <c r="A143" s="55"/>
      <c r="B143" s="48" t="str">
        <f aca="false">Родина!$E$4</f>
        <v>Рік народження</v>
      </c>
      <c r="C143" s="67" t="str">
        <f aca="false">IF(Родина!E10 = 0, "", Родина!E10)</f>
        <v/>
      </c>
      <c r="D143" s="65"/>
    </row>
    <row r="144" customFormat="false" ht="15" hidden="false" customHeight="false" outlineLevel="0" collapsed="false">
      <c r="A144" s="55" t="s">
        <v>163</v>
      </c>
      <c r="B144" s="48" t="str">
        <f aca="false">Документи!A4</f>
        <v>Тип документу</v>
      </c>
      <c r="C144" s="56" t="str">
        <f aca="false">IF(Документи!B4 = 0, "", Документи!B4)</f>
        <v/>
      </c>
      <c r="D144" s="48"/>
    </row>
    <row r="145" customFormat="false" ht="15" hidden="false" customHeight="false" outlineLevel="0" collapsed="false">
      <c r="A145" s="55"/>
      <c r="B145" s="48" t="str">
        <f aca="false">Документи!A5</f>
        <v>Серія та номер </v>
      </c>
      <c r="C145" s="48" t="str">
        <f aca="false">IF(Документи!B5 = 0, "", Документи!B5)</f>
        <v/>
      </c>
      <c r="D145" s="48"/>
    </row>
    <row r="146" customFormat="false" ht="15" hidden="false" customHeight="false" outlineLevel="0" collapsed="false">
      <c r="A146" s="55"/>
      <c r="B146" s="48" t="str">
        <f aca="false">Документи!A6</f>
        <v>Ким виданий</v>
      </c>
      <c r="C146" s="48" t="str">
        <f aca="false">IF(Документи!B6 = 0, "", Документи!B6)</f>
        <v/>
      </c>
      <c r="D146" s="48"/>
    </row>
    <row r="147" customFormat="false" ht="15" hidden="false" customHeight="false" outlineLevel="0" collapsed="false">
      <c r="A147" s="55"/>
      <c r="B147" s="48" t="str">
        <f aca="false">Документи!A7</f>
        <v>Дата видачі</v>
      </c>
      <c r="C147" s="48" t="str">
        <f aca="false">IF(Документи!B7 = 0, "", Документи!B7)</f>
        <v/>
      </c>
      <c r="D147" s="48"/>
    </row>
    <row r="148" customFormat="false" ht="15" hidden="false" customHeight="false" outlineLevel="0" collapsed="false">
      <c r="A148" s="55"/>
      <c r="B148" s="48" t="str">
        <f aca="false">Документи!A10</f>
        <v>Тип документу</v>
      </c>
      <c r="C148" s="56" t="str">
        <f aca="false">IF(Документи!B10 = 0, "", Документи!B10)</f>
        <v/>
      </c>
      <c r="D148" s="48"/>
    </row>
    <row r="149" customFormat="false" ht="15" hidden="false" customHeight="false" outlineLevel="0" collapsed="false">
      <c r="A149" s="55"/>
      <c r="B149" s="48" t="str">
        <f aca="false">Документи!A11</f>
        <v>Серія та номер </v>
      </c>
      <c r="C149" s="48" t="str">
        <f aca="false">IF(Документи!B11 = 0, "", Документи!B11)</f>
        <v/>
      </c>
      <c r="D149" s="48"/>
    </row>
    <row r="150" customFormat="false" ht="15" hidden="false" customHeight="false" outlineLevel="0" collapsed="false">
      <c r="A150" s="55"/>
      <c r="B150" s="48" t="str">
        <f aca="false">Документи!A12</f>
        <v>Ким виданий</v>
      </c>
      <c r="C150" s="48" t="str">
        <f aca="false">IF(Документи!B12 = 0, "", Документи!B12)</f>
        <v/>
      </c>
      <c r="D150" s="48"/>
    </row>
    <row r="151" customFormat="false" ht="15" hidden="false" customHeight="false" outlineLevel="0" collapsed="false">
      <c r="A151" s="55"/>
      <c r="B151" s="48" t="str">
        <f aca="false">Документи!A13</f>
        <v>Дата видачі</v>
      </c>
      <c r="C151" s="48" t="str">
        <f aca="false">IF(Документи!B13 = 0, "", Документи!B13)</f>
        <v/>
      </c>
      <c r="D151" s="48"/>
    </row>
    <row r="152" customFormat="false" ht="15" hidden="false" customHeight="false" outlineLevel="0" collapsed="false">
      <c r="A152" s="55"/>
      <c r="B152" s="48" t="s">
        <v>164</v>
      </c>
      <c r="C152" s="48"/>
      <c r="D152" s="48"/>
    </row>
    <row r="153" customFormat="false" ht="15" hidden="false" customHeight="false" outlineLevel="0" collapsed="false">
      <c r="A153" s="55"/>
      <c r="B153" s="48" t="str">
        <f aca="false">Документи!A16</f>
        <v>Серія та номер </v>
      </c>
      <c r="C153" s="56" t="str">
        <f aca="false">IF(Документи!B16 = 0, "", Документи!B16)</f>
        <v/>
      </c>
      <c r="D153" s="48"/>
    </row>
    <row r="154" customFormat="false" ht="15" hidden="false" customHeight="false" outlineLevel="0" collapsed="false">
      <c r="A154" s="55"/>
      <c r="B154" s="48" t="str">
        <f aca="false">Документи!A17</f>
        <v>Ким виданий</v>
      </c>
      <c r="C154" s="48" t="str">
        <f aca="false">IF(Документи!B17 = 0, "", Документи!B17)</f>
        <v/>
      </c>
      <c r="D154" s="48"/>
    </row>
    <row r="155" customFormat="false" ht="15" hidden="false" customHeight="false" outlineLevel="0" collapsed="false">
      <c r="A155" s="55"/>
      <c r="B155" s="48" t="str">
        <f aca="false">Документи!A18</f>
        <v>Дата видачі</v>
      </c>
      <c r="C155" s="48" t="str">
        <f aca="false">IF(Документи!B18 = 0, "", Документи!B18)</f>
        <v/>
      </c>
      <c r="D155" s="48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1">
    <mergeCell ref="G1:N1"/>
    <mergeCell ref="Q1:T1"/>
    <mergeCell ref="A2:A24"/>
    <mergeCell ref="O2:O16"/>
    <mergeCell ref="G7:M7"/>
    <mergeCell ref="G15:K15"/>
    <mergeCell ref="O17:O28"/>
    <mergeCell ref="A25:A39"/>
    <mergeCell ref="A40:A113"/>
    <mergeCell ref="A114:A143"/>
    <mergeCell ref="A144:A155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40:D44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6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1039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2024-11-09T15:51:24Z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